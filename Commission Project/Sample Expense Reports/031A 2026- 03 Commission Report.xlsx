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ACCOUNT\Commissions\2026 Commissions\March\"/>
    </mc:Choice>
  </mc:AlternateContent>
  <xr:revisionPtr revIDLastSave="0" documentId="8_{BD5D174B-4F65-4715-BA70-F4C0EECAB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March" sheetId="5" r:id="rId2"/>
    <sheet name="February" sheetId="4" r:id="rId3"/>
    <sheet name="January" sheetId="3" r:id="rId4"/>
  </sheets>
  <calcPr calcId="191029"/>
  <pivotCaches>
    <pivotCache cacheId="37" r:id="rId5"/>
    <pivotCache cacheId="38" r:id="rId6"/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9" i="5" l="1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O59" i="2" l="1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57" i="2" l="1"/>
  <c r="O35" i="2"/>
  <c r="O64" i="2"/>
  <c r="O40" i="2"/>
  <c r="O17" i="2"/>
  <c r="O43" i="2"/>
  <c r="C66" i="2" l="1"/>
  <c r="E66" i="2"/>
  <c r="F66" i="2"/>
  <c r="G66" i="2"/>
  <c r="H66" i="2"/>
  <c r="I66" i="2"/>
  <c r="K66" i="2"/>
  <c r="L66" i="2"/>
  <c r="N66" i="2"/>
  <c r="M66" i="2"/>
  <c r="O65" i="2"/>
  <c r="O38" i="2" l="1"/>
  <c r="O23" i="2" l="1"/>
  <c r="O63" i="2"/>
  <c r="O15" i="2"/>
  <c r="O20" i="2"/>
  <c r="O37" i="2"/>
  <c r="O60" i="2"/>
  <c r="O29" i="2"/>
  <c r="O31" i="2"/>
  <c r="O47" i="2"/>
  <c r="O51" i="2"/>
  <c r="O55" i="2"/>
  <c r="O48" i="2"/>
  <c r="O45" i="2"/>
  <c r="O52" i="2"/>
  <c r="O34" i="2"/>
  <c r="O50" i="2"/>
  <c r="O9" i="2"/>
  <c r="O8" i="2" l="1"/>
  <c r="O41" i="2"/>
  <c r="O42" i="2"/>
  <c r="O44" i="2"/>
  <c r="O46" i="2"/>
  <c r="O49" i="2"/>
  <c r="O53" i="2"/>
  <c r="O30" i="2" l="1"/>
  <c r="O32" i="2"/>
  <c r="O36" i="2"/>
  <c r="O56" i="2"/>
  <c r="O58" i="2"/>
  <c r="O61" i="2"/>
  <c r="O62" i="2"/>
  <c r="O13" i="2" l="1"/>
  <c r="O26" i="2"/>
  <c r="O27" i="2"/>
  <c r="O28" i="2"/>
  <c r="O33" i="2"/>
  <c r="O39" i="2"/>
  <c r="O54" i="2"/>
  <c r="O25" i="2"/>
  <c r="O22" i="2"/>
  <c r="O24" i="2"/>
  <c r="O11" i="2"/>
  <c r="O12" i="2"/>
  <c r="O14" i="2"/>
  <c r="O16" i="2"/>
  <c r="O18" i="2"/>
  <c r="O19" i="2"/>
  <c r="O21" i="2"/>
  <c r="O10" i="2" l="1"/>
  <c r="O66" i="2" s="1"/>
</calcChain>
</file>

<file path=xl/sharedStrings.xml><?xml version="1.0" encoding="utf-8"?>
<sst xmlns="http://schemas.openxmlformats.org/spreadsheetml/2006/main" count="3057" uniqueCount="492">
  <si>
    <t>0383</t>
  </si>
  <si>
    <t>0437</t>
  </si>
  <si>
    <t>0485</t>
  </si>
  <si>
    <t>0786</t>
  </si>
  <si>
    <t>0803</t>
  </si>
  <si>
    <t>0884</t>
  </si>
  <si>
    <t>0915</t>
  </si>
  <si>
    <t>1233</t>
  </si>
  <si>
    <t>1265</t>
  </si>
  <si>
    <t>1311</t>
  </si>
  <si>
    <t>1479</t>
  </si>
  <si>
    <t>1794</t>
  </si>
  <si>
    <t>1826</t>
  </si>
  <si>
    <t>2511</t>
  </si>
  <si>
    <t>2974</t>
  </si>
  <si>
    <t>3135</t>
  </si>
  <si>
    <t>3868</t>
  </si>
  <si>
    <t>3998</t>
  </si>
  <si>
    <t>4088</t>
  </si>
  <si>
    <t>4436</t>
  </si>
  <si>
    <t>4524</t>
  </si>
  <si>
    <t>Ultrafab, Inc.</t>
  </si>
  <si>
    <t>Commissions Report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</si>
  <si>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</si>
  <si>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</si>
  <si>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</si>
  <si>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</si>
  <si>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</si>
  <si>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</si>
  <si>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</si>
  <si>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</si>
  <si>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</si>
  <si>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</si>
  <si>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</si>
  <si>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</si>
  <si>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YTD Total</t>
  </si>
  <si>
    <t>Monthly Total</t>
  </si>
  <si>
    <t>031A - Velocity Sales</t>
  </si>
  <si>
    <t>0712</t>
  </si>
  <si>
    <t>1538</t>
  </si>
  <si>
    <t>2497</t>
  </si>
  <si>
    <t>4445</t>
  </si>
  <si>
    <t>2145</t>
  </si>
  <si>
    <t>4827</t>
  </si>
  <si>
    <t>4854</t>
  </si>
  <si>
    <t>3642</t>
  </si>
  <si>
    <t>3676</t>
  </si>
  <si>
    <t>4275</t>
  </si>
  <si>
    <t>0113</t>
  </si>
  <si>
    <t>0215</t>
  </si>
  <si>
    <t>2379</t>
  </si>
  <si>
    <t>4222</t>
  </si>
  <si>
    <t>4825</t>
  </si>
  <si>
    <t>0968</t>
  </si>
  <si>
    <t>2763</t>
  </si>
  <si>
    <t>4251</t>
  </si>
  <si>
    <t>4437</t>
  </si>
  <si>
    <t>0789</t>
  </si>
  <si>
    <t>3977</t>
  </si>
  <si>
    <t>4000</t>
  </si>
  <si>
    <t>4077</t>
  </si>
  <si>
    <t>2982</t>
  </si>
  <si>
    <t>4230</t>
  </si>
  <si>
    <t>2007</t>
  </si>
  <si>
    <t>1282</t>
  </si>
  <si>
    <t>4913</t>
  </si>
  <si>
    <t>3039</t>
  </si>
  <si>
    <t>4979</t>
  </si>
  <si>
    <t>Commissions - 2025</t>
  </si>
  <si>
    <t>0877</t>
  </si>
  <si>
    <t>3694</t>
  </si>
  <si>
    <t>3296</t>
  </si>
  <si>
    <t>4527</t>
  </si>
  <si>
    <t>2794</t>
  </si>
  <si>
    <t>4976</t>
  </si>
  <si>
    <t>ISC</t>
  </si>
  <si>
    <t>SR CO</t>
  </si>
  <si>
    <t>SR</t>
  </si>
  <si>
    <t>Salesrep</t>
  </si>
  <si>
    <t>Division</t>
  </si>
  <si>
    <t>ID</t>
  </si>
  <si>
    <t>Cust Name</t>
  </si>
  <si>
    <t>Item Number</t>
  </si>
  <si>
    <t>Invoice No.</t>
  </si>
  <si>
    <t>Inv Date</t>
  </si>
  <si>
    <t>QTY</t>
  </si>
  <si>
    <t>Price</t>
  </si>
  <si>
    <t>Item Rep Rate</t>
  </si>
  <si>
    <t>Item Amt</t>
  </si>
  <si>
    <t>Item Rate</t>
  </si>
  <si>
    <t>Commission</t>
  </si>
  <si>
    <t>Sales Account</t>
  </si>
  <si>
    <t/>
  </si>
  <si>
    <t>031A</t>
  </si>
  <si>
    <t>010</t>
  </si>
  <si>
    <t>STRY-BUC, INC.</t>
  </si>
  <si>
    <t>W11255MGZ000</t>
  </si>
  <si>
    <t>00532499</t>
  </si>
  <si>
    <t>50022-010</t>
  </si>
  <si>
    <t>W31175NG000G</t>
  </si>
  <si>
    <t>00533040</t>
  </si>
  <si>
    <t>50021-010</t>
  </si>
  <si>
    <t>Row Labels</t>
  </si>
  <si>
    <t>Sum of Item Amt</t>
  </si>
  <si>
    <t>Sum of Commission</t>
  </si>
  <si>
    <t>W23235NG000G</t>
  </si>
  <si>
    <t>W23351NG000G</t>
  </si>
  <si>
    <t>00532193</t>
  </si>
  <si>
    <t>W21261NG000G</t>
  </si>
  <si>
    <t>00533041</t>
  </si>
  <si>
    <t>VIWINCO</t>
  </si>
  <si>
    <t>W13381NW0V00</t>
  </si>
  <si>
    <t>00532878</t>
  </si>
  <si>
    <t>00533130</t>
  </si>
  <si>
    <t>00533126</t>
  </si>
  <si>
    <t>061</t>
  </si>
  <si>
    <t>F20399WN302N</t>
  </si>
  <si>
    <t>RTN010635</t>
  </si>
  <si>
    <t>58010-061</t>
  </si>
  <si>
    <t>F10599WN102N</t>
  </si>
  <si>
    <t>00532115</t>
  </si>
  <si>
    <t>53031-061</t>
  </si>
  <si>
    <t>W43251NW0N00</t>
  </si>
  <si>
    <t>00532875</t>
  </si>
  <si>
    <t>W41325NW0V00</t>
  </si>
  <si>
    <t>00532865</t>
  </si>
  <si>
    <t>00532600</t>
  </si>
  <si>
    <t>EC-000-75</t>
  </si>
  <si>
    <t>00532311</t>
  </si>
  <si>
    <t>53071-061</t>
  </si>
  <si>
    <t>EC-000-76</t>
  </si>
  <si>
    <t>00532866</t>
  </si>
  <si>
    <t>W43251NW0V00</t>
  </si>
  <si>
    <t>00533123</t>
  </si>
  <si>
    <t>W431517W0V00</t>
  </si>
  <si>
    <t>00532593</t>
  </si>
  <si>
    <t>W43381NW0000</t>
  </si>
  <si>
    <t>00533121</t>
  </si>
  <si>
    <t>00532877</t>
  </si>
  <si>
    <t>W21255NW0V00</t>
  </si>
  <si>
    <t>00533128</t>
  </si>
  <si>
    <t>4729</t>
  </si>
  <si>
    <t>00532309</t>
  </si>
  <si>
    <t>Grand Total</t>
  </si>
  <si>
    <t>F10599KN102N</t>
  </si>
  <si>
    <t>00533125</t>
  </si>
  <si>
    <t>00533124</t>
  </si>
  <si>
    <t>00532876</t>
  </si>
  <si>
    <t>00532598</t>
  </si>
  <si>
    <t>GRAHAM ARCHITECTURAL PRODUCTS-CURTAIN WALL DIVISION</t>
  </si>
  <si>
    <t>W232219G000G</t>
  </si>
  <si>
    <t>00532114</t>
  </si>
  <si>
    <t>00532870</t>
  </si>
  <si>
    <t>075</t>
  </si>
  <si>
    <t>W21225NG000G</t>
  </si>
  <si>
    <t>00532359</t>
  </si>
  <si>
    <t>50021-075</t>
  </si>
  <si>
    <t>GILD-N-SON MANUFACTURING</t>
  </si>
  <si>
    <t>W23291NW0000</t>
  </si>
  <si>
    <t>00532360</t>
  </si>
  <si>
    <t>020</t>
  </si>
  <si>
    <t>NORTHEAST BUILDING PROD. CORP.</t>
  </si>
  <si>
    <t>P3092AMW (PC) 1.25</t>
  </si>
  <si>
    <t>00532299</t>
  </si>
  <si>
    <t>51051-020</t>
  </si>
  <si>
    <t>D3895AMW (PC) 1.25</t>
  </si>
  <si>
    <t>00533091</t>
  </si>
  <si>
    <t>W13311NW0000</t>
  </si>
  <si>
    <t>00532103</t>
  </si>
  <si>
    <t>HIMARK WINDOWS LLC</t>
  </si>
  <si>
    <t>W232519W0000</t>
  </si>
  <si>
    <t>00532188</t>
  </si>
  <si>
    <t>00532415</t>
  </si>
  <si>
    <t>WC-000-67</t>
  </si>
  <si>
    <t>W234019W0000</t>
  </si>
  <si>
    <t>00532422</t>
  </si>
  <si>
    <t>WC-000-69</t>
  </si>
  <si>
    <t>00532420</t>
  </si>
  <si>
    <t>00532601</t>
  </si>
  <si>
    <t>00532605</t>
  </si>
  <si>
    <t>M03122NH5020</t>
  </si>
  <si>
    <t>00532173</t>
  </si>
  <si>
    <t>53030-061</t>
  </si>
  <si>
    <t>IDEAL WINDOW MFG., INC.</t>
  </si>
  <si>
    <t>W232919W0000</t>
  </si>
  <si>
    <t>00532502</t>
  </si>
  <si>
    <t>W43351NW0000</t>
  </si>
  <si>
    <t>00532089</t>
  </si>
  <si>
    <t>NORTHERN ARCHITECTURAL SYSTEMS</t>
  </si>
  <si>
    <t>00533037</t>
  </si>
  <si>
    <t>00532095</t>
  </si>
  <si>
    <t>W21145NG0000</t>
  </si>
  <si>
    <t>W21315NG000G</t>
  </si>
  <si>
    <t>W21205NG000G</t>
  </si>
  <si>
    <t>00532257</t>
  </si>
  <si>
    <t>REGENCY PLUS, INC.</t>
  </si>
  <si>
    <t>W23303NW0000</t>
  </si>
  <si>
    <t>00532755</t>
  </si>
  <si>
    <t>00532642</t>
  </si>
  <si>
    <t>TRIMLINE WINDOWS, INC.</t>
  </si>
  <si>
    <t>P3095AME (PC) .790</t>
  </si>
  <si>
    <t>00533097</t>
  </si>
  <si>
    <t>074</t>
  </si>
  <si>
    <t>RITESCREEN CO., INC.</t>
  </si>
  <si>
    <t>W13501NG000G</t>
  </si>
  <si>
    <t>00533167</t>
  </si>
  <si>
    <t>50022-074</t>
  </si>
  <si>
    <t>897A</t>
  </si>
  <si>
    <t>RITESCREEN COMPANY LLC, THE</t>
  </si>
  <si>
    <t>W13251NG000G</t>
  </si>
  <si>
    <t>00532535</t>
  </si>
  <si>
    <t>RITESCREEN CO. INC, THE</t>
  </si>
  <si>
    <t>DP370N500-240KMP 1.375</t>
  </si>
  <si>
    <t>00532753</t>
  </si>
  <si>
    <t>W13631NK000B</t>
  </si>
  <si>
    <t>00532087</t>
  </si>
  <si>
    <t>NELLO WALL SYSTEMS INC</t>
  </si>
  <si>
    <t>E20418GN4020</t>
  </si>
  <si>
    <t>00532659</t>
  </si>
  <si>
    <t>E20418KN4020</t>
  </si>
  <si>
    <t>E20418WN4020</t>
  </si>
  <si>
    <t>QUANTA TECHNOLOGIES, INC</t>
  </si>
  <si>
    <t>W2418BNG000G</t>
  </si>
  <si>
    <t>00532099</t>
  </si>
  <si>
    <t>HARMONY PRODUCTS, INC</t>
  </si>
  <si>
    <t>W13161NK000B</t>
  </si>
  <si>
    <t>00532628</t>
  </si>
  <si>
    <t>50022-075</t>
  </si>
  <si>
    <t>SUNAIR AWNINGS AND SCREENS</t>
  </si>
  <si>
    <t>189KC1000-450KL</t>
  </si>
  <si>
    <t>00533053</t>
  </si>
  <si>
    <t>51058-020</t>
  </si>
  <si>
    <t>189N1500-136KL</t>
  </si>
  <si>
    <t>MI PROFILES LLC</t>
  </si>
  <si>
    <t>W23151NW0M00</t>
  </si>
  <si>
    <t>00532617</t>
  </si>
  <si>
    <t>W23241NWDM00</t>
  </si>
  <si>
    <t>RTN010637</t>
  </si>
  <si>
    <t>58010-010</t>
  </si>
  <si>
    <t>RTN010642</t>
  </si>
  <si>
    <t>W23151NL0000</t>
  </si>
  <si>
    <t>RTN010711</t>
  </si>
  <si>
    <t>00532893</t>
  </si>
  <si>
    <t>W23241NLDM00</t>
  </si>
  <si>
    <t>00532393</t>
  </si>
  <si>
    <t>00533131</t>
  </si>
  <si>
    <t>W23321NW0000</t>
  </si>
  <si>
    <t>W23241NK000B</t>
  </si>
  <si>
    <t>00532619</t>
  </si>
  <si>
    <t>W23321NK000B</t>
  </si>
  <si>
    <t>RTN010716</t>
  </si>
  <si>
    <t>RTN010638</t>
  </si>
  <si>
    <t>RTN010712</t>
  </si>
  <si>
    <t>RTN010640</t>
  </si>
  <si>
    <t>RTN010641</t>
  </si>
  <si>
    <t>RTN010714</t>
  </si>
  <si>
    <t>RTN010636</t>
  </si>
  <si>
    <t>RTN010719</t>
  </si>
  <si>
    <t>RTN010715</t>
  </si>
  <si>
    <t>RTN010639</t>
  </si>
  <si>
    <t>RTN010717</t>
  </si>
  <si>
    <t>RTN010643</t>
  </si>
  <si>
    <t>RTN010713</t>
  </si>
  <si>
    <t>VALE HOME IMPROVEMENT CO., INC.</t>
  </si>
  <si>
    <t>W11455NK000B</t>
  </si>
  <si>
    <t>00532760</t>
  </si>
  <si>
    <t>MI WINDOWS AND DOORS</t>
  </si>
  <si>
    <t>SP-001-62</t>
  </si>
  <si>
    <t>00532721</t>
  </si>
  <si>
    <t>W23235NL0000</t>
  </si>
  <si>
    <t>00533129</t>
  </si>
  <si>
    <t>P4052AFG (KC) .880</t>
  </si>
  <si>
    <t>00532610</t>
  </si>
  <si>
    <t>00532386</t>
  </si>
  <si>
    <t>00532609</t>
  </si>
  <si>
    <t>023</t>
  </si>
  <si>
    <t>EC-001-51</t>
  </si>
  <si>
    <t>00533120</t>
  </si>
  <si>
    <t>51052-023</t>
  </si>
  <si>
    <t>QUANEX HOMSHIELD LLC - ALLENTOWN</t>
  </si>
  <si>
    <t>W13411NG000G</t>
  </si>
  <si>
    <t>00532433</t>
  </si>
  <si>
    <t>W13401MG0000</t>
  </si>
  <si>
    <t>00532332</t>
  </si>
  <si>
    <t>00532279</t>
  </si>
  <si>
    <t>RESOURCE CONSERVATION TECHNOLOGY, INC</t>
  </si>
  <si>
    <t>M35329KH712N</t>
  </si>
  <si>
    <t>00532706</t>
  </si>
  <si>
    <t>M35417NF712N</t>
  </si>
  <si>
    <t>M35325KH712N</t>
  </si>
  <si>
    <t>M35413NF712N</t>
  </si>
  <si>
    <t>M35317KH712N</t>
  </si>
  <si>
    <t>M35421NF712N</t>
  </si>
  <si>
    <t>M35321KH712N</t>
  </si>
  <si>
    <t>M35425NF712N</t>
  </si>
  <si>
    <t>M35513GJ512N</t>
  </si>
  <si>
    <t>W31175NK000B</t>
  </si>
  <si>
    <t>RTN010744</t>
  </si>
  <si>
    <t>AK095BL</t>
  </si>
  <si>
    <t>00534117</t>
  </si>
  <si>
    <t>AK084BL</t>
  </si>
  <si>
    <t>00533509</t>
  </si>
  <si>
    <t>00533734</t>
  </si>
  <si>
    <t>50021-074</t>
  </si>
  <si>
    <t>00533682</t>
  </si>
  <si>
    <t>00534345</t>
  </si>
  <si>
    <t>00533441</t>
  </si>
  <si>
    <t>00533684</t>
  </si>
  <si>
    <t>00533676</t>
  </si>
  <si>
    <t>F20399CN302N</t>
  </si>
  <si>
    <t>00534343</t>
  </si>
  <si>
    <t>F10599TN102N</t>
  </si>
  <si>
    <t>00533678</t>
  </si>
  <si>
    <t>EC-000-79</t>
  </si>
  <si>
    <t>00533993</t>
  </si>
  <si>
    <t>00533992</t>
  </si>
  <si>
    <t>00533422</t>
  </si>
  <si>
    <t>00533439</t>
  </si>
  <si>
    <t>00533863</t>
  </si>
  <si>
    <t>EC-000-78</t>
  </si>
  <si>
    <t>00533442</t>
  </si>
  <si>
    <t>00533436</t>
  </si>
  <si>
    <t>00533440</t>
  </si>
  <si>
    <t>00533989</t>
  </si>
  <si>
    <t>00533994</t>
  </si>
  <si>
    <t>00534003</t>
  </si>
  <si>
    <t>E26218KN3020</t>
  </si>
  <si>
    <t>00533984</t>
  </si>
  <si>
    <t>W232019G000G</t>
  </si>
  <si>
    <t>00534070</t>
  </si>
  <si>
    <t>W212149G000G</t>
  </si>
  <si>
    <t>00534113</t>
  </si>
  <si>
    <t>00533786</t>
  </si>
  <si>
    <t>E20118KN5020</t>
  </si>
  <si>
    <t>00533416</t>
  </si>
  <si>
    <t>00533323</t>
  </si>
  <si>
    <t>SEVEN D INDUSTRIES, INC.</t>
  </si>
  <si>
    <t>E10918WN7020</t>
  </si>
  <si>
    <t>00533639</t>
  </si>
  <si>
    <t>00533321</t>
  </si>
  <si>
    <t>W23505NG000G</t>
  </si>
  <si>
    <t>W23505NB0000</t>
  </si>
  <si>
    <t>00533316</t>
  </si>
  <si>
    <t>W234519W0000</t>
  </si>
  <si>
    <t>00534071</t>
  </si>
  <si>
    <t>00533679</t>
  </si>
  <si>
    <t>00533677</t>
  </si>
  <si>
    <t>00534337</t>
  </si>
  <si>
    <t>00533593</t>
  </si>
  <si>
    <t>00533381</t>
  </si>
  <si>
    <t>00534309</t>
  </si>
  <si>
    <t>00533241</t>
  </si>
  <si>
    <t>W13451NG000G</t>
  </si>
  <si>
    <t>00533258</t>
  </si>
  <si>
    <t>00534253</t>
  </si>
  <si>
    <t>SWISCO, INC.</t>
  </si>
  <si>
    <t>W13431NG000G</t>
  </si>
  <si>
    <t>00533625</t>
  </si>
  <si>
    <t>W13191NW0000</t>
  </si>
  <si>
    <t>00533359</t>
  </si>
  <si>
    <t>W11135NG000G</t>
  </si>
  <si>
    <t>00533985</t>
  </si>
  <si>
    <t>W23251NK000B</t>
  </si>
  <si>
    <t>00533982</t>
  </si>
  <si>
    <t>W23251NW0000</t>
  </si>
  <si>
    <t>E11518WN3020</t>
  </si>
  <si>
    <t>00533606</t>
  </si>
  <si>
    <t>E10218BN3020</t>
  </si>
  <si>
    <t>00534243</t>
  </si>
  <si>
    <t>E21818BN3020</t>
  </si>
  <si>
    <t>W21345NW0000</t>
  </si>
  <si>
    <t>00534130</t>
  </si>
  <si>
    <t>E10218WN3020</t>
  </si>
  <si>
    <t>00533360</t>
  </si>
  <si>
    <t>EC-000-51</t>
  </si>
  <si>
    <t>00534177</t>
  </si>
  <si>
    <t>00533725</t>
  </si>
  <si>
    <t>W233919K000B</t>
  </si>
  <si>
    <t>ALUTECH UNITED INC</t>
  </si>
  <si>
    <t>W13751NK000B</t>
  </si>
  <si>
    <t>00533816</t>
  </si>
  <si>
    <t>FRP ARCHITECTURAL DOORS, INC.</t>
  </si>
  <si>
    <t>W13315NK000B</t>
  </si>
  <si>
    <t>00533186</t>
  </si>
  <si>
    <t>W13485NK000B</t>
  </si>
  <si>
    <t>ACTIVWALL SYSTEMS LLC</t>
  </si>
  <si>
    <t>M05244NR312N</t>
  </si>
  <si>
    <t>00534353</t>
  </si>
  <si>
    <t>00533804</t>
  </si>
  <si>
    <t>00533800</t>
  </si>
  <si>
    <t>00533507</t>
  </si>
  <si>
    <t>00534156</t>
  </si>
  <si>
    <t>00533565</t>
  </si>
  <si>
    <t>00533192</t>
  </si>
  <si>
    <t>00534118</t>
  </si>
  <si>
    <t>00533490</t>
  </si>
  <si>
    <t>W21265NG000G</t>
  </si>
  <si>
    <t>00534915</t>
  </si>
  <si>
    <t>00535440</t>
  </si>
  <si>
    <t>00535564</t>
  </si>
  <si>
    <t>00534836</t>
  </si>
  <si>
    <t>00535439</t>
  </si>
  <si>
    <t>00535441</t>
  </si>
  <si>
    <t>W21165NW0V00</t>
  </si>
  <si>
    <t>00535638</t>
  </si>
  <si>
    <t>00534633</t>
  </si>
  <si>
    <t>00535520</t>
  </si>
  <si>
    <t>00534917</t>
  </si>
  <si>
    <t>00534636</t>
  </si>
  <si>
    <t>00535211</t>
  </si>
  <si>
    <t>00535442</t>
  </si>
  <si>
    <t>00535430</t>
  </si>
  <si>
    <t>W13306MG0000</t>
  </si>
  <si>
    <t>00534583</t>
  </si>
  <si>
    <t>00535227</t>
  </si>
  <si>
    <t>W21181NG000G</t>
  </si>
  <si>
    <t>00535249</t>
  </si>
  <si>
    <t>00534986</t>
  </si>
  <si>
    <t>00534407</t>
  </si>
  <si>
    <t>FIVE STAR ALUMINUM PROD. INC.</t>
  </si>
  <si>
    <t>W11185NW0000</t>
  </si>
  <si>
    <t>00534982</t>
  </si>
  <si>
    <t>W212959W0000</t>
  </si>
  <si>
    <t>W23271NW0000</t>
  </si>
  <si>
    <t>00534686</t>
  </si>
  <si>
    <t>E14518WN3020</t>
  </si>
  <si>
    <t>00535491</t>
  </si>
  <si>
    <t>E10418WN5020</t>
  </si>
  <si>
    <t>W91205NG000G</t>
  </si>
  <si>
    <t>00535246</t>
  </si>
  <si>
    <t>50023-010</t>
  </si>
  <si>
    <t>00534805</t>
  </si>
  <si>
    <t>W21145NG000G</t>
  </si>
  <si>
    <t>00535229</t>
  </si>
  <si>
    <t>00535256</t>
  </si>
  <si>
    <t>E20218KN4020</t>
  </si>
  <si>
    <t>00534517</t>
  </si>
  <si>
    <t>D3202AMW (KC) .875</t>
  </si>
  <si>
    <t>00535499</t>
  </si>
  <si>
    <t>00535542</t>
  </si>
  <si>
    <t>W23301NW0000</t>
  </si>
  <si>
    <t>250EC140-120EMP 1.72</t>
  </si>
  <si>
    <t>00535436</t>
  </si>
  <si>
    <t>W21465GG000G</t>
  </si>
  <si>
    <t>00535159</t>
  </si>
  <si>
    <t>00534873</t>
  </si>
  <si>
    <t>W13651NG000G</t>
  </si>
  <si>
    <t>W13751NG000G</t>
  </si>
  <si>
    <t>00534980</t>
  </si>
  <si>
    <t>TF50150AMG (PC) .500</t>
  </si>
  <si>
    <t>00534866</t>
  </si>
  <si>
    <t>00534838</t>
  </si>
  <si>
    <t>JANTEK INDUSTRIES</t>
  </si>
  <si>
    <t>W23231NW0W00</t>
  </si>
  <si>
    <t>00535380</t>
  </si>
  <si>
    <t>EC-000-50</t>
  </si>
  <si>
    <t>00534612</t>
  </si>
  <si>
    <t>W21255NG000G</t>
  </si>
  <si>
    <t>00535371</t>
  </si>
  <si>
    <t>00535549</t>
  </si>
  <si>
    <t>W41275NW0000</t>
  </si>
  <si>
    <t>00534687</t>
  </si>
  <si>
    <t>00535530</t>
  </si>
  <si>
    <t>W13501NK000B</t>
  </si>
  <si>
    <t>00535514</t>
  </si>
  <si>
    <t>189N750-120KL-01</t>
  </si>
  <si>
    <t>00535062</t>
  </si>
  <si>
    <t>00534698</t>
  </si>
  <si>
    <t>00535459</t>
  </si>
  <si>
    <t>00534934</t>
  </si>
  <si>
    <t>00535554</t>
  </si>
  <si>
    <t>RTN010825</t>
  </si>
  <si>
    <t>RTN010823</t>
  </si>
  <si>
    <t>RTN010828</t>
  </si>
  <si>
    <t>RTN010822</t>
  </si>
  <si>
    <t>RTN010821</t>
  </si>
  <si>
    <t>RTN010827</t>
  </si>
  <si>
    <t>RTN010820</t>
  </si>
  <si>
    <t>RTN010826</t>
  </si>
  <si>
    <t>RTN010824</t>
  </si>
  <si>
    <t>00534696</t>
  </si>
  <si>
    <t>00534409</t>
  </si>
  <si>
    <t>00534700</t>
  </si>
  <si>
    <t>00535261</t>
  </si>
  <si>
    <t>884C</t>
  </si>
  <si>
    <t>LIPPERT COMPONENTS #110</t>
  </si>
  <si>
    <t>P2803AMK (FT)</t>
  </si>
  <si>
    <t>00535197</t>
  </si>
  <si>
    <t>00535196</t>
  </si>
  <si>
    <t>W13451NK000B</t>
  </si>
  <si>
    <t>00534780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</si>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</sst>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###,###,##0.00"/>
    <numFmt numFmtId="166" formatCode="###,###,##0.0000"/>
    <numFmt numFmtId="167" formatCode="###,###,##0.00%"/>
    <numFmt numFmtId="168" formatCode="&quot;$&quot;###,###,##0.00;[Red]\(&quot;$&quot;###,###,##0.00\)"/>
    <numFmt numFmtId="169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4" fontId="3" fillId="3" borderId="2" xfId="2" applyFont="1" applyFill="1" applyBorder="1"/>
    <xf numFmtId="44" fontId="0" fillId="0" borderId="2" xfId="2" applyFont="1" applyBorder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0" fillId="0" borderId="3" xfId="2" applyFont="1" applyBorder="1"/>
    <xf numFmtId="0" fontId="2" fillId="0" borderId="0" xfId="0" quotePrefix="1" applyFont="1" applyAlignment="1">
      <alignment horizontal="center"/>
    </xf>
    <xf numFmtId="49" fontId="2" fillId="0" borderId="0" xfId="0" quotePrefix="1" applyNumberFormat="1" applyFont="1" applyAlignment="1">
      <alignment horizontal="center"/>
    </xf>
    <xf numFmtId="44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9" fontId="0" fillId="0" borderId="0" xfId="0" applyNumberFormat="1"/>
    <xf numFmtId="0" fontId="2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CCOUNT/Commissions/2026%20Commissions/January/2026%2001%20-%20Commission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ACCOUNT/Commissions/2026%20Commissions/February/2026%2002%20-%20Commission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03%20-%20Commission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LH(Jamie Hughes)" refreshedDate="46055.327979166665" createdVersion="5" refreshedVersion="8" minRefreshableVersion="3" recordCount="119" xr:uid="{44BB82B3-69C6-412E-825B-9D060E858ABF}">
  <cacheSource type="worksheet">
    <worksheetSource ref="A1:Q120" sheet="031A" r:id="rId2"/>
  </cacheSource>
  <cacheFields count="17">
    <cacheField name="ISC" numFmtId="49">
      <sharedItems/>
    </cacheField>
    <cacheField name="SR CO" numFmtId="49">
      <sharedItems/>
    </cacheField>
    <cacheField name="SR" numFmtId="49">
      <sharedItems/>
    </cacheField>
    <cacheField name="Salesrep" numFmtId="49">
      <sharedItems/>
    </cacheField>
    <cacheField name="Division" numFmtId="49">
      <sharedItems/>
    </cacheField>
    <cacheField name="ID" numFmtId="49">
      <sharedItems count="22">
        <s v="0383"/>
        <s v="0437"/>
        <s v="0485"/>
        <s v="0789"/>
        <s v="0884"/>
        <s v="1265"/>
        <s v="1311"/>
        <s v="1479"/>
        <s v="1826"/>
        <s v="2145"/>
        <s v="2511"/>
        <s v="2982"/>
        <s v="3296"/>
        <s v="3642"/>
        <s v="3676"/>
        <s v="3694"/>
        <s v="3868"/>
        <s v="4436"/>
        <s v="4437"/>
        <s v="4527"/>
        <s v="4729"/>
        <s v="4827"/>
      </sharedItems>
    </cacheField>
    <cacheField name="Cust Name" numFmtId="0">
      <sharedItems count="22">
        <s v="STRY-BUC, INC."/>
        <s v="VIWINCO"/>
        <s v="GRAHAM ARCHITECTURAL PRODUCTS-CURTAIN WALL DIVISION"/>
        <s v="GILD-N-SON MANUFACTURING"/>
        <s v="NORTHEAST BUILDING PROD. CORP."/>
        <s v="HIMARK WINDOWS LLC"/>
        <s v="IDEAL WINDOW MFG., INC."/>
        <s v="NORTHERN ARCHITECTURAL SYSTEMS"/>
        <s v="REGENCY PLUS, INC."/>
        <s v="TRIMLINE WINDOWS, INC."/>
        <s v="RITESCREEN CO., INC."/>
        <s v="RITESCREEN COMPANY LLC, THE"/>
        <s v="RITESCREEN CO. INC, THE"/>
        <s v="NELLO WALL SYSTEMS INC"/>
        <s v="QUANTA TECHNOLOGIES, INC"/>
        <s v="HARMONY PRODUCTS, INC"/>
        <s v="SUNAIR AWNINGS AND SCREENS"/>
        <s v="MI PROFILES LLC"/>
        <s v="VALE HOME IMPROVEMENT CO., INC."/>
        <s v="MI WINDOWS AND DOORS"/>
        <s v="QUANEX HOMSHIELD LLC - ALLENTOWN"/>
        <s v="RESOURCE CONSERVATION TECHNOLOGY, INC"/>
      </sharedItems>
    </cacheField>
    <cacheField name="Item Number" numFmtId="49">
      <sharedItems/>
    </cacheField>
    <cacheField name="Invoice No." numFmtId="49">
      <sharedItems/>
    </cacheField>
    <cacheField name="Inv Date" numFmtId="164">
      <sharedItems containsSemiMixedTypes="0" containsNonDate="0" containsDate="1" containsString="0" minDate="2026-01-05T00:00:00" maxDate="2026-01-31T00:00:00"/>
    </cacheField>
    <cacheField name="QTY" numFmtId="165">
      <sharedItems containsSemiMixedTypes="0" containsString="0" containsNumber="1" minValue="1" maxValue="120000"/>
    </cacheField>
    <cacheField name="Price" numFmtId="166">
      <sharedItems containsSemiMixedTypes="0" containsString="0" containsNumber="1" minValue="9.2600000000000002E-2" maxValue="286.64999999999998"/>
    </cacheField>
    <cacheField name="Item Rep Rate" numFmtId="167">
      <sharedItems containsSemiMixedTypes="0" containsString="0" containsNumber="1" minValue="0.67" maxValue="1"/>
    </cacheField>
    <cacheField name="Item Amt" numFmtId="168">
      <sharedItems containsSemiMixedTypes="0" containsString="0" containsNumber="1" minValue="-319.44" maxValue="14400"/>
    </cacheField>
    <cacheField name="Item Rate" numFmtId="167">
      <sharedItems containsSemiMixedTypes="0" containsString="0" containsNumber="1" minValue="0.01" maxValue="0.05"/>
    </cacheField>
    <cacheField name="Commission" numFmtId="168">
      <sharedItems containsSemiMixedTypes="0" containsString="0" containsNumber="1" minValue="-6.4400000000000013" maxValue="432"/>
    </cacheField>
    <cacheField name="Sales Account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LH(Jamie Hughes)" refreshedDate="46083.321467592592" createdVersion="5" refreshedVersion="8" minRefreshableVersion="3" recordCount="79" xr:uid="{4F235D58-09E2-4B2C-9D50-B6456DBEE162}">
  <cacheSource type="worksheet">
    <worksheetSource ref="A1:Q80" sheet="031A" r:id="rId2"/>
  </cacheSource>
  <cacheFields count="17">
    <cacheField name="ISC" numFmtId="49">
      <sharedItems/>
    </cacheField>
    <cacheField name="SR CO" numFmtId="49">
      <sharedItems/>
    </cacheField>
    <cacheField name="SR" numFmtId="49">
      <sharedItems/>
    </cacheField>
    <cacheField name="Salesrep" numFmtId="49">
      <sharedItems/>
    </cacheField>
    <cacheField name="Division" numFmtId="49">
      <sharedItems/>
    </cacheField>
    <cacheField name="ID" numFmtId="49">
      <sharedItems count="17">
        <s v="0383"/>
        <s v="0437"/>
        <s v="0485"/>
        <s v="0789"/>
        <s v="1233"/>
        <s v="1265"/>
        <s v="1311"/>
        <s v="1479"/>
        <s v="2511"/>
        <s v="3135"/>
        <s v="3296"/>
        <s v="3694"/>
        <s v="3998"/>
        <s v="4222"/>
        <s v="4275"/>
        <s v="4436"/>
        <s v="4527"/>
      </sharedItems>
    </cacheField>
    <cacheField name="Cust Name" numFmtId="0">
      <sharedItems count="17">
        <s v="STRY-BUC, INC."/>
        <s v="VIWINCO"/>
        <s v="GRAHAM ARCHITECTURAL PRODUCTS-CURTAIN WALL DIVISION"/>
        <s v="GILD-N-SON MANUFACTURING"/>
        <s v="SEVEN D INDUSTRIES, INC."/>
        <s v="HIMARK WINDOWS LLC"/>
        <s v="IDEAL WINDOW MFG., INC."/>
        <s v="NORTHERN ARCHITECTURAL SYSTEMS"/>
        <s v="RITESCREEN CO., INC."/>
        <s v="SWISCO, INC."/>
        <s v="RITESCREEN CO. INC, THE"/>
        <s v="HARMONY PRODUCTS, INC"/>
        <s v="ALUTECH UNITED INC"/>
        <s v="FRP ARCHITECTURAL DOORS, INC."/>
        <s v="ACTIVWALL SYSTEMS LLC"/>
        <s v="MI PROFILES LLC"/>
        <s v="MI WINDOWS AND DOORS"/>
      </sharedItems>
    </cacheField>
    <cacheField name="Item Number" numFmtId="49">
      <sharedItems/>
    </cacheField>
    <cacheField name="Invoice No." numFmtId="49">
      <sharedItems/>
    </cacheField>
    <cacheField name="Inv Date" numFmtId="164">
      <sharedItems containsSemiMixedTypes="0" containsNonDate="0" containsDate="1" containsString="0" minDate="2026-02-02T00:00:00" maxDate="2026-02-28T00:00:00"/>
    </cacheField>
    <cacheField name="QTY" numFmtId="165">
      <sharedItems containsSemiMixedTypes="0" containsString="0" containsNumber="1" containsInteger="1" minValue="1" maxValue="36000"/>
    </cacheField>
    <cacheField name="Price" numFmtId="166">
      <sharedItems containsSemiMixedTypes="0" containsString="0" containsNumber="1" minValue="0.17599999999999999" maxValue="397.04"/>
    </cacheField>
    <cacheField name="Item Rep Rate" numFmtId="167">
      <sharedItems containsSemiMixedTypes="0" containsString="0" containsNumber="1" containsInteger="1" minValue="1" maxValue="1"/>
    </cacheField>
    <cacheField name="Item Amt" numFmtId="168">
      <sharedItems containsSemiMixedTypes="0" containsString="0" containsNumber="1" minValue="-494.3" maxValue="13099.2"/>
    </cacheField>
    <cacheField name="Item Rate" numFmtId="167">
      <sharedItems containsSemiMixedTypes="0" containsString="0" containsNumber="1" minValue="0.01" maxValue="0.05"/>
    </cacheField>
    <cacheField name="Commission" numFmtId="168">
      <sharedItems containsSemiMixedTypes="0" containsString="0" containsNumber="1" minValue="-14.829000000000001" maxValue="220.14"/>
    </cacheField>
    <cacheField name="Sales Account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LH(Jamie Hughes)" refreshedDate="46113.552939814814" createdVersion="5" refreshedVersion="8" minRefreshableVersion="3" recordCount="88" xr:uid="{4BA4A77B-756B-4D31-82E6-535570CEDF3A}">
  <cacheSource type="worksheet">
    <worksheetSource ref="A1:Q89" sheet="031A" r:id="rId2"/>
  </cacheSource>
  <cacheFields count="17">
    <cacheField name="ISC" numFmtId="49">
      <sharedItems/>
    </cacheField>
    <cacheField name="SR CO" numFmtId="49">
      <sharedItems/>
    </cacheField>
    <cacheField name="SR" numFmtId="49">
      <sharedItems/>
    </cacheField>
    <cacheField name="Salesrep" numFmtId="49">
      <sharedItems/>
    </cacheField>
    <cacheField name="Division" numFmtId="49">
      <sharedItems/>
    </cacheField>
    <cacheField name="ID" numFmtId="49">
      <sharedItems count="18">
        <s v="0383"/>
        <s v="0437"/>
        <s v="0485"/>
        <s v="0712"/>
        <s v="1233"/>
        <s v="1265"/>
        <s v="1479"/>
        <s v="1826"/>
        <s v="2145"/>
        <s v="2511"/>
        <s v="2974"/>
        <s v="2982"/>
        <s v="3135"/>
        <s v="3296"/>
        <s v="3868"/>
        <s v="4436"/>
        <s v="4527"/>
        <s v="4825"/>
      </sharedItems>
    </cacheField>
    <cacheField name="Cust Name" numFmtId="0">
      <sharedItems count="18">
        <s v="STRY-BUC, INC."/>
        <s v="VIWINCO"/>
        <s v="GRAHAM ARCHITECTURAL PRODUCTS-CURTAIN WALL DIVISION"/>
        <s v="FIVE STAR ALUMINUM PROD. INC."/>
        <s v="SEVEN D INDUSTRIES, INC."/>
        <s v="HIMARK WINDOWS LLC"/>
        <s v="NORTHERN ARCHITECTURAL SYSTEMS"/>
        <s v="REGENCY PLUS, INC."/>
        <s v="TRIMLINE WINDOWS, INC."/>
        <s v="RITESCREEN CO., INC."/>
        <s v="JANTEK INDUSTRIES"/>
        <s v="RITESCREEN COMPANY LLC, THE"/>
        <s v="SWISCO, INC."/>
        <s v="RITESCREEN CO. INC, THE"/>
        <s v="SUNAIR AWNINGS AND SCREENS"/>
        <s v="MI PROFILES LLC"/>
        <s v="MI WINDOWS AND DOORS"/>
        <s v="LIPPERT COMPONENTS #110"/>
      </sharedItems>
    </cacheField>
    <cacheField name="Item Number" numFmtId="49">
      <sharedItems/>
    </cacheField>
    <cacheField name="Invoice No." numFmtId="49">
      <sharedItems/>
    </cacheField>
    <cacheField name="Inv Date" numFmtId="164">
      <sharedItems containsSemiMixedTypes="0" containsNonDate="0" containsDate="1" containsString="0" minDate="2026-03-02T00:00:00" maxDate="2026-04-01T00:00:00"/>
    </cacheField>
    <cacheField name="QTY" numFmtId="165">
      <sharedItems containsSemiMixedTypes="0" containsString="0" containsNumber="1" minValue="1" maxValue="96000"/>
    </cacheField>
    <cacheField name="Price" numFmtId="166">
      <sharedItems containsSemiMixedTypes="0" containsString="0" containsNumber="1" minValue="0.12" maxValue="286.64999999999998"/>
    </cacheField>
    <cacheField name="Item Rep Rate" numFmtId="167">
      <sharedItems containsSemiMixedTypes="0" containsString="0" containsNumber="1" minValue="0.33" maxValue="1"/>
    </cacheField>
    <cacheField name="Item Amt" numFmtId="168">
      <sharedItems containsSemiMixedTypes="0" containsString="0" containsNumber="1" minValue="-245.61" maxValue="16374"/>
    </cacheField>
    <cacheField name="Item Rate" numFmtId="167">
      <sharedItems containsSemiMixedTypes="0" containsString="0" containsNumber="1" minValue="0.01" maxValue="0.03"/>
    </cacheField>
    <cacheField name="Commission" numFmtId="168">
      <sharedItems containsSemiMixedTypes="0" containsString="0" containsNumber="1" minValue="-2.4561000000000002" maxValue="345.59999999999997"/>
    </cacheField>
    <cacheField name="Sales Account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"/>
    <s v="031A"/>
    <s v="031A"/>
    <s v="031A"/>
    <s v="010"/>
    <x v="0"/>
    <x v="0"/>
    <s v="W11255MGZ000"/>
    <s v="00532499"/>
    <d v="2026-01-14T00:00:00"/>
    <n v="4"/>
    <n v="171.53"/>
    <n v="1"/>
    <n v="686.12"/>
    <n v="0.03"/>
    <n v="20.583600000000001"/>
    <s v="50022-010"/>
  </r>
  <r>
    <s v=""/>
    <s v="031A"/>
    <s v="031A"/>
    <s v="031A"/>
    <s v="010"/>
    <x v="0"/>
    <x v="0"/>
    <s v="W31175NG000G"/>
    <s v="00533040"/>
    <d v="2026-01-28T00:00:00"/>
    <n v="10"/>
    <n v="49.34"/>
    <n v="1"/>
    <n v="493.4"/>
    <n v="0.03"/>
    <n v="14.802"/>
    <s v="50021-010"/>
  </r>
  <r>
    <s v=""/>
    <s v="031A"/>
    <s v="031A"/>
    <s v="031A"/>
    <s v="010"/>
    <x v="0"/>
    <x v="0"/>
    <s v="W23235NG000G"/>
    <s v="00532499"/>
    <d v="2026-01-14T00:00:00"/>
    <n v="10"/>
    <n v="40.950000000000003"/>
    <n v="1"/>
    <n v="409.5"/>
    <n v="0.03"/>
    <n v="12.285"/>
    <s v="50021-010"/>
  </r>
  <r>
    <s v=""/>
    <s v="031A"/>
    <s v="031A"/>
    <s v="031A"/>
    <s v="010"/>
    <x v="0"/>
    <x v="0"/>
    <s v="W23351NG000G"/>
    <s v="00532193"/>
    <d v="2026-01-07T00:00:00"/>
    <n v="10"/>
    <n v="40.11"/>
    <n v="1"/>
    <n v="401.1"/>
    <n v="0.03"/>
    <n v="12.032999999999999"/>
    <s v="50021-010"/>
  </r>
  <r>
    <s v=""/>
    <s v="031A"/>
    <s v="031A"/>
    <s v="031A"/>
    <s v="010"/>
    <x v="0"/>
    <x v="0"/>
    <s v="W21261NG000G"/>
    <s v="00533041"/>
    <d v="2026-01-28T00:00:00"/>
    <n v="10"/>
    <n v="50.221499999999999"/>
    <n v="1"/>
    <n v="502.22"/>
    <n v="0.03"/>
    <n v="15.066600000000001"/>
    <s v="50021-010"/>
  </r>
  <r>
    <s v=""/>
    <s v="031A"/>
    <s v="031A"/>
    <s v="031A"/>
    <s v="010"/>
    <x v="1"/>
    <x v="1"/>
    <s v="W13381NW0V00"/>
    <s v="00532878"/>
    <d v="2026-01-23T00:00:00"/>
    <n v="8"/>
    <n v="30.28"/>
    <n v="1"/>
    <n v="242.24"/>
    <n v="0.03"/>
    <n v="7.2671999999999999"/>
    <s v="50022-010"/>
  </r>
  <r>
    <s v=""/>
    <s v="031A"/>
    <s v="031A"/>
    <s v="031A"/>
    <s v="010"/>
    <x v="1"/>
    <x v="1"/>
    <s v="W13381NW0V00"/>
    <s v="00533130"/>
    <d v="2026-01-30T00:00:00"/>
    <n v="8"/>
    <n v="30.28"/>
    <n v="1"/>
    <n v="242.24"/>
    <n v="0.03"/>
    <n v="7.2671999999999999"/>
    <s v="50022-010"/>
  </r>
  <r>
    <s v=""/>
    <s v="031A"/>
    <s v="031A"/>
    <s v="031A"/>
    <s v="010"/>
    <x v="1"/>
    <x v="1"/>
    <s v="W13381NW0V00"/>
    <s v="00533126"/>
    <d v="2026-01-30T00:00:00"/>
    <n v="4"/>
    <n v="30.28"/>
    <n v="1"/>
    <n v="121.12"/>
    <n v="0.03"/>
    <n v="3.6335999999999999"/>
    <s v="50022-010"/>
  </r>
  <r>
    <s v=""/>
    <s v="031A"/>
    <s v="031A"/>
    <s v="031A"/>
    <s v="061"/>
    <x v="1"/>
    <x v="1"/>
    <s v="F20399WN302N"/>
    <s v="RTN010635"/>
    <d v="2026-01-13T00:00:00"/>
    <n v="1"/>
    <n v="128.80000000000001"/>
    <n v="1"/>
    <n v="-128.80000000000001"/>
    <n v="0.05"/>
    <n v="-6.4400000000000013"/>
    <s v="58010-061"/>
  </r>
  <r>
    <s v=""/>
    <s v="031A"/>
    <s v="031A"/>
    <s v="031A"/>
    <s v="061"/>
    <x v="1"/>
    <x v="1"/>
    <s v="F10599WN102N"/>
    <s v="00532115"/>
    <d v="2026-01-05T00:00:00"/>
    <n v="2"/>
    <n v="286.64999999999998"/>
    <n v="1"/>
    <n v="573.29999999999995"/>
    <n v="0.05"/>
    <n v="28.664999999999999"/>
    <s v="53031-061"/>
  </r>
  <r>
    <s v=""/>
    <s v="031A"/>
    <s v="031A"/>
    <s v="031A"/>
    <s v="010"/>
    <x v="1"/>
    <x v="1"/>
    <s v="W43251NW0N00"/>
    <s v="00532875"/>
    <d v="2026-01-23T00:00:00"/>
    <n v="18"/>
    <n v="41.64"/>
    <n v="1"/>
    <n v="749.52"/>
    <n v="0.03"/>
    <n v="22.485599999999998"/>
    <s v="50021-010"/>
  </r>
  <r>
    <s v=""/>
    <s v="031A"/>
    <s v="031A"/>
    <s v="031A"/>
    <s v="010"/>
    <x v="1"/>
    <x v="1"/>
    <s v="W41325NW0V00"/>
    <s v="00532865"/>
    <d v="2026-01-23T00:00:00"/>
    <n v="12"/>
    <n v="41.64"/>
    <n v="1"/>
    <n v="499.68"/>
    <n v="0.03"/>
    <n v="14.990399999999999"/>
    <s v="50021-010"/>
  </r>
  <r>
    <s v=""/>
    <s v="031A"/>
    <s v="031A"/>
    <s v="031A"/>
    <s v="010"/>
    <x v="1"/>
    <x v="1"/>
    <s v="W41325NW0V00"/>
    <s v="00532600"/>
    <d v="2026-01-16T00:00:00"/>
    <n v="8"/>
    <n v="41.64"/>
    <n v="1"/>
    <n v="333.12"/>
    <n v="0.03"/>
    <n v="9.9935999999999989"/>
    <s v="50021-010"/>
  </r>
  <r>
    <s v=""/>
    <s v="031A"/>
    <s v="031A"/>
    <s v="031A"/>
    <s v="061"/>
    <x v="1"/>
    <x v="1"/>
    <s v="EC-000-75"/>
    <s v="00532311"/>
    <d v="2026-01-09T00:00:00"/>
    <n v="126"/>
    <n v="5.6821000000000002"/>
    <n v="1"/>
    <n v="715.94"/>
    <n v="0.03"/>
    <n v="21.478200000000001"/>
    <s v="53071-061"/>
  </r>
  <r>
    <s v=""/>
    <s v="031A"/>
    <s v="031A"/>
    <s v="031A"/>
    <s v="061"/>
    <x v="1"/>
    <x v="1"/>
    <s v="EC-000-76"/>
    <s v="00532866"/>
    <d v="2026-01-23T00:00:00"/>
    <n v="882"/>
    <n v="5.6821000000000002"/>
    <n v="1"/>
    <n v="5011.6099999999997"/>
    <n v="0.03"/>
    <n v="150.34829999999999"/>
    <s v="53071-061"/>
  </r>
  <r>
    <s v=""/>
    <s v="031A"/>
    <s v="031A"/>
    <s v="031A"/>
    <s v="010"/>
    <x v="1"/>
    <x v="1"/>
    <s v="W43251NW0V00"/>
    <s v="00533123"/>
    <d v="2026-01-30T00:00:00"/>
    <n v="12"/>
    <n v="41.64"/>
    <n v="1"/>
    <n v="499.68"/>
    <n v="0.03"/>
    <n v="14.990399999999999"/>
    <s v="50021-010"/>
  </r>
  <r>
    <s v=""/>
    <s v="031A"/>
    <s v="031A"/>
    <s v="031A"/>
    <s v="010"/>
    <x v="1"/>
    <x v="1"/>
    <s v="W431517W0V00"/>
    <s v="00533130"/>
    <d v="2026-01-30T00:00:00"/>
    <n v="12"/>
    <n v="41.64"/>
    <n v="1"/>
    <n v="499.68"/>
    <n v="0.03"/>
    <n v="14.990399999999999"/>
    <s v="50021-010"/>
  </r>
  <r>
    <s v=""/>
    <s v="031A"/>
    <s v="031A"/>
    <s v="031A"/>
    <s v="010"/>
    <x v="1"/>
    <x v="1"/>
    <s v="W43251NW0V00"/>
    <s v="00532311"/>
    <d v="2026-01-09T00:00:00"/>
    <n v="18"/>
    <n v="41.64"/>
    <n v="1"/>
    <n v="749.52"/>
    <n v="0.03"/>
    <n v="22.485599999999998"/>
    <s v="50021-010"/>
  </r>
  <r>
    <s v=""/>
    <s v="031A"/>
    <s v="031A"/>
    <s v="031A"/>
    <s v="010"/>
    <x v="1"/>
    <x v="1"/>
    <s v="W41325NW0V00"/>
    <s v="00532593"/>
    <d v="2026-01-16T00:00:00"/>
    <n v="8"/>
    <n v="41.64"/>
    <n v="1"/>
    <n v="333.12"/>
    <n v="0.03"/>
    <n v="9.9935999999999989"/>
    <s v="50021-010"/>
  </r>
  <r>
    <s v=""/>
    <s v="031A"/>
    <s v="031A"/>
    <s v="031A"/>
    <s v="010"/>
    <x v="1"/>
    <x v="1"/>
    <s v="W43381NW0000"/>
    <s v="00533121"/>
    <d v="2026-01-30T00:00:00"/>
    <n v="8"/>
    <n v="55.35"/>
    <n v="1"/>
    <n v="442.8"/>
    <n v="0.03"/>
    <n v="13.284000000000001"/>
    <s v="50021-010"/>
  </r>
  <r>
    <s v=""/>
    <s v="031A"/>
    <s v="031A"/>
    <s v="031A"/>
    <s v="010"/>
    <x v="1"/>
    <x v="1"/>
    <s v="W41325NW0V00"/>
    <s v="00532877"/>
    <d v="2026-01-23T00:00:00"/>
    <n v="8"/>
    <n v="41.64"/>
    <n v="1"/>
    <n v="333.12"/>
    <n v="0.03"/>
    <n v="9.9935999999999989"/>
    <s v="50021-010"/>
  </r>
  <r>
    <s v=""/>
    <s v="031A"/>
    <s v="031A"/>
    <s v="031A"/>
    <s v="010"/>
    <x v="1"/>
    <x v="1"/>
    <s v="W21255NW0V00"/>
    <s v="00533128"/>
    <d v="2026-01-30T00:00:00"/>
    <n v="5"/>
    <n v="41.64"/>
    <n v="1"/>
    <n v="208.2"/>
    <n v="0.03"/>
    <n v="6.2459999999999996"/>
    <s v="50021-010"/>
  </r>
  <r>
    <s v=""/>
    <s v="031A"/>
    <s v="031A"/>
    <s v="031A"/>
    <s v="010"/>
    <x v="1"/>
    <x v="1"/>
    <s v="W43251NW0V00"/>
    <s v="00533128"/>
    <d v="2026-01-30T00:00:00"/>
    <n v="18"/>
    <n v="41.64"/>
    <n v="1"/>
    <n v="749.52"/>
    <n v="0.03"/>
    <n v="22.485599999999998"/>
    <s v="50021-010"/>
  </r>
  <r>
    <s v=""/>
    <s v="031A"/>
    <s v="031A"/>
    <s v="031A"/>
    <s v="061"/>
    <x v="1"/>
    <x v="1"/>
    <s v="F10599WN102N"/>
    <s v="00532309"/>
    <d v="2026-01-09T00:00:00"/>
    <n v="8"/>
    <n v="286.64999999999998"/>
    <n v="1"/>
    <n v="2293.1999999999998"/>
    <n v="0.05"/>
    <n v="114.66"/>
    <s v="53031-061"/>
  </r>
  <r>
    <s v=""/>
    <s v="031A"/>
    <s v="031A"/>
    <s v="031A"/>
    <s v="061"/>
    <x v="1"/>
    <x v="1"/>
    <s v="F20399WN302N"/>
    <s v="00532600"/>
    <d v="2026-01-16T00:00:00"/>
    <n v="10"/>
    <n v="133.31"/>
    <n v="1"/>
    <n v="1333.1"/>
    <n v="0.05"/>
    <n v="66.655000000000001"/>
    <s v="53031-061"/>
  </r>
  <r>
    <s v=""/>
    <s v="031A"/>
    <s v="031A"/>
    <s v="031A"/>
    <s v="061"/>
    <x v="1"/>
    <x v="1"/>
    <s v="F10599KN102N"/>
    <s v="00533126"/>
    <d v="2026-01-30T00:00:00"/>
    <n v="5"/>
    <n v="286.64999999999998"/>
    <n v="1"/>
    <n v="1433.25"/>
    <n v="0.05"/>
    <n v="71.662500000000009"/>
    <s v="53031-061"/>
  </r>
  <r>
    <s v=""/>
    <s v="031A"/>
    <s v="031A"/>
    <s v="031A"/>
    <s v="061"/>
    <x v="1"/>
    <x v="1"/>
    <s v="F10599WN102N"/>
    <s v="00532311"/>
    <d v="2026-01-09T00:00:00"/>
    <n v="7"/>
    <n v="286.64999999999998"/>
    <n v="1"/>
    <n v="2006.55"/>
    <n v="0.05"/>
    <n v="100.3275"/>
    <s v="53031-061"/>
  </r>
  <r>
    <s v=""/>
    <s v="031A"/>
    <s v="031A"/>
    <s v="031A"/>
    <s v="061"/>
    <x v="1"/>
    <x v="1"/>
    <s v="F10599WN102N"/>
    <s v="00533123"/>
    <d v="2026-01-30T00:00:00"/>
    <n v="3"/>
    <n v="286.64999999999998"/>
    <n v="1"/>
    <n v="859.95"/>
    <n v="0.05"/>
    <n v="42.997500000000002"/>
    <s v="53031-061"/>
  </r>
  <r>
    <s v=""/>
    <s v="031A"/>
    <s v="031A"/>
    <s v="031A"/>
    <s v="061"/>
    <x v="1"/>
    <x v="1"/>
    <s v="F10599WN102N"/>
    <s v="00533125"/>
    <d v="2026-01-30T00:00:00"/>
    <n v="7"/>
    <n v="286.64999999999998"/>
    <n v="1"/>
    <n v="2006.55"/>
    <n v="0.05"/>
    <n v="100.3275"/>
    <s v="53031-061"/>
  </r>
  <r>
    <s v=""/>
    <s v="031A"/>
    <s v="031A"/>
    <s v="031A"/>
    <s v="061"/>
    <x v="1"/>
    <x v="1"/>
    <s v="F10599WN102N"/>
    <s v="00533124"/>
    <d v="2026-01-30T00:00:00"/>
    <n v="7"/>
    <n v="286.64999999999998"/>
    <n v="1"/>
    <n v="2006.55"/>
    <n v="0.05"/>
    <n v="100.3275"/>
    <s v="53031-061"/>
  </r>
  <r>
    <s v=""/>
    <s v="031A"/>
    <s v="031A"/>
    <s v="031A"/>
    <s v="061"/>
    <x v="1"/>
    <x v="1"/>
    <s v="F10599WN102N"/>
    <s v="00532876"/>
    <d v="2026-01-23T00:00:00"/>
    <n v="3"/>
    <n v="286.64999999999998"/>
    <n v="1"/>
    <n v="859.95"/>
    <n v="0.05"/>
    <n v="42.997500000000002"/>
    <s v="53031-061"/>
  </r>
  <r>
    <s v=""/>
    <s v="031A"/>
    <s v="031A"/>
    <s v="031A"/>
    <s v="061"/>
    <x v="1"/>
    <x v="1"/>
    <s v="F20399WN302N"/>
    <s v="00532865"/>
    <d v="2026-01-23T00:00:00"/>
    <n v="10"/>
    <n v="133.31"/>
    <n v="1"/>
    <n v="1333.1"/>
    <n v="0.05"/>
    <n v="66.655000000000001"/>
    <s v="53031-061"/>
  </r>
  <r>
    <s v=""/>
    <s v="031A"/>
    <s v="031A"/>
    <s v="031A"/>
    <s v="061"/>
    <x v="1"/>
    <x v="1"/>
    <s v="F20399WN302N"/>
    <s v="00532598"/>
    <d v="2026-01-16T00:00:00"/>
    <n v="10"/>
    <n v="133.31"/>
    <n v="1"/>
    <n v="1333.1"/>
    <n v="0.05"/>
    <n v="66.655000000000001"/>
    <s v="53031-061"/>
  </r>
  <r>
    <s v=""/>
    <s v="031A"/>
    <s v="031A"/>
    <s v="031A"/>
    <s v="010"/>
    <x v="2"/>
    <x v="2"/>
    <s v="W232219G000G"/>
    <s v="00532114"/>
    <d v="2026-01-05T00:00:00"/>
    <n v="6"/>
    <n v="41.98"/>
    <n v="1"/>
    <n v="251.88"/>
    <n v="0.03"/>
    <n v="7.5564"/>
    <s v="50021-010"/>
  </r>
  <r>
    <s v=""/>
    <s v="031A"/>
    <s v="031A"/>
    <s v="031A"/>
    <s v="010"/>
    <x v="2"/>
    <x v="2"/>
    <s v="W232219G000G"/>
    <s v="00532870"/>
    <d v="2026-01-23T00:00:00"/>
    <n v="12"/>
    <n v="41.98"/>
    <n v="1"/>
    <n v="503.76"/>
    <n v="0.03"/>
    <n v="15.1128"/>
    <s v="50021-010"/>
  </r>
  <r>
    <s v=""/>
    <s v="031A"/>
    <s v="031A"/>
    <s v="031A"/>
    <s v="075"/>
    <x v="2"/>
    <x v="2"/>
    <s v="W21225NG000G"/>
    <s v="00532359"/>
    <d v="2026-01-12T00:00:00"/>
    <n v="5"/>
    <n v="44.17"/>
    <n v="1"/>
    <n v="220.85"/>
    <n v="0.03"/>
    <n v="6.6254999999999997"/>
    <s v="50021-075"/>
  </r>
  <r>
    <s v=""/>
    <s v="031A"/>
    <s v="031A"/>
    <s v="031A"/>
    <s v="075"/>
    <x v="3"/>
    <x v="3"/>
    <s v="W23291NW0000"/>
    <s v="00532360"/>
    <d v="2026-01-12T00:00:00"/>
    <n v="5"/>
    <n v="43.12"/>
    <n v="1"/>
    <n v="215.6"/>
    <n v="0.03"/>
    <n v="6.468"/>
    <s v="50021-075"/>
  </r>
  <r>
    <s v=""/>
    <s v="031A"/>
    <s v="031A"/>
    <s v="031A"/>
    <s v="020"/>
    <x v="4"/>
    <x v="4"/>
    <s v="P3092AMW (PC) 1.25"/>
    <s v="00532299"/>
    <d v="2026-01-09T00:00:00"/>
    <n v="20000"/>
    <n v="0.1522"/>
    <n v="1"/>
    <n v="3044"/>
    <n v="0.03"/>
    <n v="91.32"/>
    <s v="51051-020"/>
  </r>
  <r>
    <s v=""/>
    <s v="031A"/>
    <s v="031A"/>
    <s v="031A"/>
    <s v="020"/>
    <x v="4"/>
    <x v="4"/>
    <s v="D3895AMW (PC) 1.25"/>
    <s v="00533091"/>
    <d v="2026-01-29T00:00:00"/>
    <n v="5000"/>
    <n v="0.51200000000000001"/>
    <n v="1"/>
    <n v="2560"/>
    <n v="0.03"/>
    <n v="76.8"/>
    <s v="51051-020"/>
  </r>
  <r>
    <s v=""/>
    <s v="031A"/>
    <s v="031A"/>
    <s v="031A"/>
    <s v="010"/>
    <x v="4"/>
    <x v="4"/>
    <s v="W13311NW0000"/>
    <s v="00532103"/>
    <d v="2026-01-05T00:00:00"/>
    <n v="20"/>
    <n v="43.29"/>
    <n v="1"/>
    <n v="865.8"/>
    <n v="0.03"/>
    <n v="25.973999999999997"/>
    <s v="50022-010"/>
  </r>
  <r>
    <s v=""/>
    <s v="031A"/>
    <s v="031A"/>
    <s v="031A"/>
    <s v="010"/>
    <x v="5"/>
    <x v="5"/>
    <s v="W232519W0000"/>
    <s v="00532188"/>
    <d v="2026-01-07T00:00:00"/>
    <n v="24"/>
    <n v="39.119999999999997"/>
    <n v="1"/>
    <n v="938.88"/>
    <n v="0.03"/>
    <n v="28.166399999999999"/>
    <s v="50021-010"/>
  </r>
  <r>
    <s v=""/>
    <s v="031A"/>
    <s v="031A"/>
    <s v="031A"/>
    <s v="010"/>
    <x v="5"/>
    <x v="5"/>
    <s v="W232519W0000"/>
    <s v="00532415"/>
    <d v="2026-01-13T00:00:00"/>
    <n v="48"/>
    <n v="39.119999999999997"/>
    <n v="1"/>
    <n v="1877.76"/>
    <n v="0.03"/>
    <n v="56.332799999999999"/>
    <s v="50021-010"/>
  </r>
  <r>
    <s v=""/>
    <s v="031A"/>
    <s v="031A"/>
    <s v="031A"/>
    <s v="010"/>
    <x v="5"/>
    <x v="5"/>
    <s v="WC-000-67"/>
    <s v="00532415"/>
    <d v="2026-01-13T00:00:00"/>
    <n v="40"/>
    <n v="43.3"/>
    <n v="1"/>
    <n v="1732"/>
    <n v="0.03"/>
    <n v="51.96"/>
    <s v="50021-010"/>
  </r>
  <r>
    <s v=""/>
    <s v="031A"/>
    <s v="031A"/>
    <s v="031A"/>
    <s v="010"/>
    <x v="5"/>
    <x v="5"/>
    <s v="W234019W0000"/>
    <s v="00532415"/>
    <d v="2026-01-13T00:00:00"/>
    <n v="48"/>
    <n v="45.13"/>
    <n v="1"/>
    <n v="2166.2399999999998"/>
    <n v="0.03"/>
    <n v="64.987199999999987"/>
    <s v="50021-010"/>
  </r>
  <r>
    <s v=""/>
    <s v="031A"/>
    <s v="031A"/>
    <s v="031A"/>
    <s v="010"/>
    <x v="5"/>
    <x v="5"/>
    <s v="W232519W0000"/>
    <s v="00532422"/>
    <d v="2026-01-13T00:00:00"/>
    <n v="48"/>
    <n v="39.119999999999997"/>
    <n v="1"/>
    <n v="1877.76"/>
    <n v="0.03"/>
    <n v="56.332799999999999"/>
    <s v="50021-010"/>
  </r>
  <r>
    <s v=""/>
    <s v="031A"/>
    <s v="031A"/>
    <s v="031A"/>
    <s v="010"/>
    <x v="5"/>
    <x v="5"/>
    <s v="WC-000-69"/>
    <s v="00532420"/>
    <d v="2026-01-13T00:00:00"/>
    <n v="15"/>
    <n v="43.3"/>
    <n v="1"/>
    <n v="649.5"/>
    <n v="0.03"/>
    <n v="19.484999999999999"/>
    <s v="50021-010"/>
  </r>
  <r>
    <s v=""/>
    <s v="031A"/>
    <s v="031A"/>
    <s v="031A"/>
    <s v="010"/>
    <x v="5"/>
    <x v="5"/>
    <s v="WC-000-69"/>
    <s v="00532601"/>
    <d v="2026-01-16T00:00:00"/>
    <n v="25"/>
    <n v="43.3"/>
    <n v="1"/>
    <n v="1082.5"/>
    <n v="0.03"/>
    <n v="32.475000000000001"/>
    <s v="50021-010"/>
  </r>
  <r>
    <s v=""/>
    <s v="031A"/>
    <s v="031A"/>
    <s v="031A"/>
    <s v="010"/>
    <x v="5"/>
    <x v="5"/>
    <s v="WC-000-69"/>
    <s v="00532605"/>
    <d v="2026-01-16T00:00:00"/>
    <n v="40"/>
    <n v="43.3"/>
    <n v="1"/>
    <n v="1732"/>
    <n v="0.03"/>
    <n v="51.96"/>
    <s v="50021-010"/>
  </r>
  <r>
    <s v=""/>
    <s v="031A"/>
    <s v="031A"/>
    <s v="031A"/>
    <s v="061"/>
    <x v="5"/>
    <x v="5"/>
    <s v="M03122NH5020"/>
    <s v="00532173"/>
    <d v="2026-01-06T00:00:00"/>
    <n v="12"/>
    <n v="283.77999999999997"/>
    <n v="1"/>
    <n v="3405.36"/>
    <n v="0.03"/>
    <n v="102.16079999999999"/>
    <s v="53030-061"/>
  </r>
  <r>
    <s v=""/>
    <s v="031A"/>
    <s v="031A"/>
    <s v="031A"/>
    <s v="010"/>
    <x v="6"/>
    <x v="6"/>
    <s v="W232919W0000"/>
    <s v="00532502"/>
    <d v="2026-01-14T00:00:00"/>
    <n v="40"/>
    <n v="40.299999999999997"/>
    <n v="1"/>
    <n v="1612"/>
    <n v="0.03"/>
    <n v="48.36"/>
    <s v="50021-010"/>
  </r>
  <r>
    <s v=""/>
    <s v="031A"/>
    <s v="031A"/>
    <s v="031A"/>
    <s v="010"/>
    <x v="6"/>
    <x v="6"/>
    <s v="W43351NW0000"/>
    <s v="00532089"/>
    <d v="2026-01-05T00:00:00"/>
    <n v="28"/>
    <n v="40.299999999999997"/>
    <n v="1"/>
    <n v="1128.4000000000001"/>
    <n v="0.03"/>
    <n v="33.852000000000004"/>
    <s v="50021-010"/>
  </r>
  <r>
    <s v=""/>
    <s v="031A"/>
    <s v="031A"/>
    <s v="031A"/>
    <s v="010"/>
    <x v="7"/>
    <x v="7"/>
    <s v="W21225NG000G"/>
    <s v="00533037"/>
    <d v="2026-01-28T00:00:00"/>
    <n v="60"/>
    <n v="40.549999999999997"/>
    <n v="1"/>
    <n v="2433"/>
    <n v="0.03"/>
    <n v="72.989999999999995"/>
    <s v="50021-010"/>
  </r>
  <r>
    <s v=""/>
    <s v="031A"/>
    <s v="031A"/>
    <s v="031A"/>
    <s v="010"/>
    <x v="7"/>
    <x v="7"/>
    <s v="W21225NG000G"/>
    <s v="00532095"/>
    <d v="2026-01-05T00:00:00"/>
    <n v="70"/>
    <n v="40.549999999999997"/>
    <n v="1"/>
    <n v="2838.5"/>
    <n v="0.03"/>
    <n v="85.155000000000001"/>
    <s v="50021-010"/>
  </r>
  <r>
    <s v=""/>
    <s v="031A"/>
    <s v="031A"/>
    <s v="031A"/>
    <s v="010"/>
    <x v="7"/>
    <x v="7"/>
    <s v="W21145NG0000"/>
    <s v="00532095"/>
    <d v="2026-01-05T00:00:00"/>
    <n v="20"/>
    <n v="40.549999999999997"/>
    <n v="1"/>
    <n v="811"/>
    <n v="0.03"/>
    <n v="24.33"/>
    <s v="50021-010"/>
  </r>
  <r>
    <s v=""/>
    <s v="031A"/>
    <s v="031A"/>
    <s v="031A"/>
    <s v="010"/>
    <x v="7"/>
    <x v="7"/>
    <s v="W21315NG000G"/>
    <s v="00532095"/>
    <d v="2026-01-05T00:00:00"/>
    <n v="32"/>
    <n v="40.549999999999997"/>
    <n v="1"/>
    <n v="1297.5999999999999"/>
    <n v="0.03"/>
    <n v="38.927999999999997"/>
    <s v="50021-010"/>
  </r>
  <r>
    <s v=""/>
    <s v="031A"/>
    <s v="031A"/>
    <s v="031A"/>
    <s v="010"/>
    <x v="7"/>
    <x v="7"/>
    <s v="W21205NG000G"/>
    <s v="00532257"/>
    <d v="2026-01-08T00:00:00"/>
    <n v="15"/>
    <n v="40.549999999999997"/>
    <n v="1"/>
    <n v="608.25"/>
    <n v="0.03"/>
    <n v="18.247499999999999"/>
    <s v="50021-010"/>
  </r>
  <r>
    <s v=""/>
    <s v="031A"/>
    <s v="031A"/>
    <s v="031A"/>
    <s v="010"/>
    <x v="8"/>
    <x v="8"/>
    <s v="W23303NW0000"/>
    <s v="00532755"/>
    <d v="2026-01-21T00:00:00"/>
    <n v="50"/>
    <n v="47.55"/>
    <n v="1"/>
    <n v="2377.5"/>
    <n v="0.03"/>
    <n v="71.325000000000003"/>
    <s v="50021-010"/>
  </r>
  <r>
    <s v=""/>
    <s v="031A"/>
    <s v="031A"/>
    <s v="031A"/>
    <s v="010"/>
    <x v="8"/>
    <x v="8"/>
    <s v="W23303NW0000"/>
    <s v="00532642"/>
    <d v="2026-01-19T00:00:00"/>
    <n v="110"/>
    <n v="45.17"/>
    <n v="1"/>
    <n v="4968.9799999999996"/>
    <n v="0.03"/>
    <n v="149.06939999999997"/>
    <s v="50021-010"/>
  </r>
  <r>
    <s v=""/>
    <s v="031A"/>
    <s v="031A"/>
    <s v="031A"/>
    <s v="020"/>
    <x v="9"/>
    <x v="9"/>
    <s v="P3095AME (PC) .790"/>
    <s v="00533097"/>
    <d v="2026-01-29T00:00:00"/>
    <n v="8000"/>
    <n v="0.28770000000000001"/>
    <n v="1"/>
    <n v="2301.6"/>
    <n v="0.03"/>
    <n v="69.048000000000002"/>
    <s v="51051-020"/>
  </r>
  <r>
    <s v=""/>
    <s v="031A"/>
    <s v="031A"/>
    <s v="031A"/>
    <s v="074"/>
    <x v="10"/>
    <x v="10"/>
    <s v="W13501NG000G"/>
    <s v="00533167"/>
    <d v="2026-01-30T00:00:00"/>
    <n v="37.5"/>
    <n v="36.630000000000003"/>
    <n v="1"/>
    <n v="1373.63"/>
    <n v="0.03"/>
    <n v="41.2089"/>
    <s v="50022-074"/>
  </r>
  <r>
    <s v=""/>
    <s v="031A"/>
    <s v="031A"/>
    <s v="897A"/>
    <s v="074"/>
    <x v="11"/>
    <x v="11"/>
    <s v="W13251NG000G"/>
    <s v="00532535"/>
    <d v="2026-01-15T00:00:00"/>
    <n v="480"/>
    <n v="23.52"/>
    <n v="0.67"/>
    <n v="7564.0320000000002"/>
    <n v="0.03"/>
    <n v="226.92096000000001"/>
    <s v="50022-074"/>
  </r>
  <r>
    <s v=""/>
    <s v="031A"/>
    <s v="031A"/>
    <s v="031A"/>
    <s v="020"/>
    <x v="12"/>
    <x v="12"/>
    <s v="DP370N500-240KMP 1.375"/>
    <s v="00532753"/>
    <d v="2026-01-21T00:00:00"/>
    <n v="24000"/>
    <n v="9.2600000000000002E-2"/>
    <n v="1"/>
    <n v="2222.4"/>
    <n v="0.03"/>
    <n v="66.671999999999997"/>
    <s v="51051-020"/>
  </r>
  <r>
    <s v=""/>
    <s v="031A"/>
    <s v="031A"/>
    <s v="031A"/>
    <s v="010"/>
    <x v="12"/>
    <x v="12"/>
    <s v="W13631NK000B"/>
    <s v="00532087"/>
    <d v="2026-01-05T00:00:00"/>
    <n v="24"/>
    <n v="53.05"/>
    <n v="1"/>
    <n v="1273.2"/>
    <n v="0.03"/>
    <n v="38.195999999999998"/>
    <s v="50022-010"/>
  </r>
  <r>
    <s v=""/>
    <s v="031A"/>
    <s v="031A"/>
    <s v="031A"/>
    <s v="061"/>
    <x v="13"/>
    <x v="13"/>
    <s v="E20418GN4020"/>
    <s v="00532659"/>
    <d v="2026-01-19T00:00:00"/>
    <n v="2.5"/>
    <n v="149.41999999999999"/>
    <n v="1"/>
    <n v="373.55"/>
    <n v="0.03"/>
    <n v="11.2065"/>
    <s v="53071-061"/>
  </r>
  <r>
    <s v=""/>
    <s v="031A"/>
    <s v="031A"/>
    <s v="031A"/>
    <s v="061"/>
    <x v="13"/>
    <x v="13"/>
    <s v="E20418KN4020"/>
    <s v="00532659"/>
    <d v="2026-01-19T00:00:00"/>
    <n v="5"/>
    <n v="149.41999999999999"/>
    <n v="1"/>
    <n v="747.1"/>
    <n v="0.03"/>
    <n v="22.413"/>
    <s v="53071-061"/>
  </r>
  <r>
    <s v=""/>
    <s v="031A"/>
    <s v="031A"/>
    <s v="031A"/>
    <s v="061"/>
    <x v="13"/>
    <x v="13"/>
    <s v="E20418WN4020"/>
    <s v="00532659"/>
    <d v="2026-01-19T00:00:00"/>
    <n v="2.5"/>
    <n v="149.41999999999999"/>
    <n v="1"/>
    <n v="373.55"/>
    <n v="0.03"/>
    <n v="11.2065"/>
    <s v="53071-061"/>
  </r>
  <r>
    <s v=""/>
    <s v="031A"/>
    <s v="031A"/>
    <s v="031A"/>
    <s v="010"/>
    <x v="14"/>
    <x v="14"/>
    <s v="W2418BNG000G"/>
    <s v="00532099"/>
    <d v="2026-01-05T00:00:00"/>
    <n v="60"/>
    <n v="35.18"/>
    <n v="1"/>
    <n v="2110.8000000000002"/>
    <n v="0.03"/>
    <n v="63.324000000000005"/>
    <s v="50021-010"/>
  </r>
  <r>
    <s v=""/>
    <s v="031A"/>
    <s v="031A"/>
    <s v="031A"/>
    <s v="075"/>
    <x v="15"/>
    <x v="15"/>
    <s v="W13161NK000B"/>
    <s v="00532628"/>
    <d v="2026-01-16T00:00:00"/>
    <n v="12"/>
    <n v="38.590000000000003"/>
    <n v="1"/>
    <n v="463.08"/>
    <n v="0.03"/>
    <n v="13.892399999999999"/>
    <s v="50022-075"/>
  </r>
  <r>
    <s v=""/>
    <s v="031A"/>
    <s v="031A"/>
    <s v="031A"/>
    <s v="020"/>
    <x v="16"/>
    <x v="16"/>
    <s v="189KC1000-450KL"/>
    <s v="00533053"/>
    <d v="2026-01-28T00:00:00"/>
    <n v="3000"/>
    <n v="0.53080000000000005"/>
    <n v="1"/>
    <n v="1592.4"/>
    <n v="0.03"/>
    <n v="47.771999999999998"/>
    <s v="51058-020"/>
  </r>
  <r>
    <s v=""/>
    <s v="031A"/>
    <s v="031A"/>
    <s v="031A"/>
    <s v="020"/>
    <x v="16"/>
    <x v="16"/>
    <s v="189N1500-136KL"/>
    <s v="00533053"/>
    <d v="2026-01-28T00:00:00"/>
    <n v="2000"/>
    <n v="0.48859999999999998"/>
    <n v="1"/>
    <n v="977.2"/>
    <n v="0.03"/>
    <n v="29.315999999999999"/>
    <s v="51058-020"/>
  </r>
  <r>
    <s v=""/>
    <s v="031A"/>
    <s v="031A"/>
    <s v="031A"/>
    <s v="010"/>
    <x v="17"/>
    <x v="17"/>
    <s v="W23151NW0M00"/>
    <s v="00532617"/>
    <d v="2026-01-16T00:00:00"/>
    <n v="90"/>
    <n v="26.26"/>
    <n v="1"/>
    <n v="2363.4"/>
    <n v="0.01"/>
    <n v="23.634"/>
    <s v="50021-010"/>
  </r>
  <r>
    <s v=""/>
    <s v="031A"/>
    <s v="031A"/>
    <s v="031A"/>
    <s v="010"/>
    <x v="17"/>
    <x v="17"/>
    <s v="W23241NWDM00"/>
    <s v="RTN010637"/>
    <d v="2026-01-13T00:00:00"/>
    <n v="3"/>
    <n v="26.62"/>
    <n v="1"/>
    <n v="-79.86"/>
    <n v="0.01"/>
    <n v="-0.79859999999999998"/>
    <s v="58010-010"/>
  </r>
  <r>
    <s v=""/>
    <s v="031A"/>
    <s v="031A"/>
    <s v="031A"/>
    <s v="010"/>
    <x v="17"/>
    <x v="17"/>
    <s v="W23241NWDM00"/>
    <s v="RTN010642"/>
    <d v="2026-01-13T00:00:00"/>
    <n v="3"/>
    <n v="26.62"/>
    <n v="1"/>
    <n v="-79.86"/>
    <n v="0.01"/>
    <n v="-0.79859999999999998"/>
    <s v="58010-010"/>
  </r>
  <r>
    <s v=""/>
    <s v="031A"/>
    <s v="031A"/>
    <s v="031A"/>
    <s v="010"/>
    <x v="17"/>
    <x v="17"/>
    <s v="W23151NL0000"/>
    <s v="RTN010711"/>
    <d v="2026-01-29T00:00:00"/>
    <n v="4.5"/>
    <n v="25.82"/>
    <n v="1"/>
    <n v="-116.19"/>
    <n v="0.01"/>
    <n v="-1.1618999999999999"/>
    <s v="58010-010"/>
  </r>
  <r>
    <s v=""/>
    <s v="031A"/>
    <s v="031A"/>
    <s v="031A"/>
    <s v="010"/>
    <x v="17"/>
    <x v="17"/>
    <s v="W23241NWDM00"/>
    <s v="00532893"/>
    <d v="2026-01-23T00:00:00"/>
    <n v="360"/>
    <n v="27.29"/>
    <n v="1"/>
    <n v="9824.4"/>
    <n v="0.01"/>
    <n v="98.244"/>
    <s v="50021-010"/>
  </r>
  <r>
    <s v=""/>
    <s v="031A"/>
    <s v="031A"/>
    <s v="031A"/>
    <s v="010"/>
    <x v="17"/>
    <x v="17"/>
    <s v="W23241NLDM00"/>
    <s v="00532893"/>
    <d v="2026-01-23T00:00:00"/>
    <n v="120"/>
    <n v="27.29"/>
    <n v="1"/>
    <n v="3274.8"/>
    <n v="0.01"/>
    <n v="32.748000000000005"/>
    <s v="50021-010"/>
  </r>
  <r>
    <s v=""/>
    <s v="031A"/>
    <s v="031A"/>
    <s v="031A"/>
    <s v="010"/>
    <x v="17"/>
    <x v="17"/>
    <s v="W23241NWDM00"/>
    <s v="00532393"/>
    <d v="2026-01-12T00:00:00"/>
    <n v="180"/>
    <n v="27.29"/>
    <n v="1"/>
    <n v="4912.2"/>
    <n v="0.01"/>
    <n v="49.122"/>
    <s v="50021-010"/>
  </r>
  <r>
    <s v=""/>
    <s v="031A"/>
    <s v="031A"/>
    <s v="031A"/>
    <s v="010"/>
    <x v="17"/>
    <x v="17"/>
    <s v="W23241NWDM00"/>
    <s v="00533131"/>
    <d v="2026-01-30T00:00:00"/>
    <n v="360"/>
    <n v="27.29"/>
    <n v="1"/>
    <n v="9824.4"/>
    <n v="0.01"/>
    <n v="98.244"/>
    <s v="50021-010"/>
  </r>
  <r>
    <s v=""/>
    <s v="031A"/>
    <s v="031A"/>
    <s v="031A"/>
    <s v="010"/>
    <x v="17"/>
    <x v="17"/>
    <s v="W23151NL0000"/>
    <s v="00532393"/>
    <d v="2026-01-12T00:00:00"/>
    <n v="90"/>
    <n v="26.47"/>
    <n v="1"/>
    <n v="2382.3000000000002"/>
    <n v="0.01"/>
    <n v="23.823000000000004"/>
    <s v="50021-010"/>
  </r>
  <r>
    <s v=""/>
    <s v="031A"/>
    <s v="031A"/>
    <s v="031A"/>
    <s v="010"/>
    <x v="17"/>
    <x v="17"/>
    <s v="W23151NW0M00"/>
    <s v="00532393"/>
    <d v="2026-01-12T00:00:00"/>
    <n v="90"/>
    <n v="26.26"/>
    <n v="1"/>
    <n v="2363.4"/>
    <n v="0.01"/>
    <n v="23.634"/>
    <s v="50021-010"/>
  </r>
  <r>
    <s v=""/>
    <s v="031A"/>
    <s v="031A"/>
    <s v="031A"/>
    <s v="010"/>
    <x v="17"/>
    <x v="17"/>
    <s v="W23321NW0000"/>
    <s v="00532393"/>
    <d v="2026-01-12T00:00:00"/>
    <n v="65"/>
    <n v="29.12"/>
    <n v="1"/>
    <n v="1892.8"/>
    <n v="0.01"/>
    <n v="18.928000000000001"/>
    <s v="50021-010"/>
  </r>
  <r>
    <s v=""/>
    <s v="031A"/>
    <s v="031A"/>
    <s v="031A"/>
    <s v="010"/>
    <x v="17"/>
    <x v="17"/>
    <s v="W23241NLDM00"/>
    <s v="00532617"/>
    <d v="2026-01-16T00:00:00"/>
    <n v="120"/>
    <n v="27.29"/>
    <n v="1"/>
    <n v="3274.8"/>
    <n v="0.01"/>
    <n v="32.748000000000005"/>
    <s v="50021-010"/>
  </r>
  <r>
    <s v=""/>
    <s v="031A"/>
    <s v="031A"/>
    <s v="031A"/>
    <s v="010"/>
    <x v="17"/>
    <x v="17"/>
    <s v="W23241NK000B"/>
    <s v="00532619"/>
    <d v="2026-01-16T00:00:00"/>
    <n v="6"/>
    <n v="27.29"/>
    <n v="1"/>
    <n v="163.74"/>
    <n v="0.01"/>
    <n v="1.6374000000000002"/>
    <s v="50021-010"/>
  </r>
  <r>
    <s v=""/>
    <s v="031A"/>
    <s v="031A"/>
    <s v="031A"/>
    <s v="010"/>
    <x v="17"/>
    <x v="17"/>
    <s v="W23321NK000B"/>
    <s v="00532619"/>
    <d v="2026-01-16T00:00:00"/>
    <n v="5"/>
    <n v="29.12"/>
    <n v="1"/>
    <n v="145.6"/>
    <n v="0.01"/>
    <n v="1.456"/>
    <s v="50021-010"/>
  </r>
  <r>
    <s v=""/>
    <s v="031A"/>
    <s v="031A"/>
    <s v="031A"/>
    <s v="010"/>
    <x v="17"/>
    <x v="17"/>
    <s v="W23241NWDM00"/>
    <s v="00532617"/>
    <d v="2026-01-16T00:00:00"/>
    <n v="360"/>
    <n v="27.29"/>
    <n v="1"/>
    <n v="9824.4"/>
    <n v="0.01"/>
    <n v="98.244"/>
    <s v="50021-010"/>
  </r>
  <r>
    <s v=""/>
    <s v="031A"/>
    <s v="031A"/>
    <s v="031A"/>
    <s v="010"/>
    <x v="17"/>
    <x v="17"/>
    <s v="W23151NL0000"/>
    <s v="00532617"/>
    <d v="2026-01-16T00:00:00"/>
    <n v="90"/>
    <n v="26.47"/>
    <n v="1"/>
    <n v="2382.3000000000002"/>
    <n v="0.01"/>
    <n v="23.823000000000004"/>
    <s v="50021-010"/>
  </r>
  <r>
    <s v=""/>
    <s v="031A"/>
    <s v="031A"/>
    <s v="031A"/>
    <s v="010"/>
    <x v="17"/>
    <x v="17"/>
    <s v="W23241NWDM00"/>
    <s v="RTN010716"/>
    <d v="2026-01-29T00:00:00"/>
    <n v="12"/>
    <n v="26.62"/>
    <n v="1"/>
    <n v="-319.44"/>
    <n v="0.01"/>
    <n v="-3.1943999999999999"/>
    <s v="58010-010"/>
  </r>
  <r>
    <s v=""/>
    <s v="031A"/>
    <s v="031A"/>
    <s v="031A"/>
    <s v="010"/>
    <x v="17"/>
    <x v="17"/>
    <s v="W23151NW0M00"/>
    <s v="RTN010638"/>
    <d v="2026-01-13T00:00:00"/>
    <n v="4.5"/>
    <n v="25.62"/>
    <n v="1"/>
    <n v="-115.29"/>
    <n v="0.01"/>
    <n v="-1.1529"/>
    <s v="58010-010"/>
  </r>
  <r>
    <s v=""/>
    <s v="031A"/>
    <s v="031A"/>
    <s v="031A"/>
    <s v="010"/>
    <x v="17"/>
    <x v="17"/>
    <s v="W23241NWDM00"/>
    <s v="RTN010712"/>
    <d v="2026-01-29T00:00:00"/>
    <n v="3"/>
    <n v="27.29"/>
    <n v="1"/>
    <n v="-81.87"/>
    <n v="0.01"/>
    <n v="-0.81870000000000009"/>
    <s v="58010-010"/>
  </r>
  <r>
    <s v=""/>
    <s v="031A"/>
    <s v="031A"/>
    <s v="031A"/>
    <s v="010"/>
    <x v="17"/>
    <x v="17"/>
    <s v="W23241NWDM00"/>
    <s v="RTN010640"/>
    <d v="2026-01-13T00:00:00"/>
    <n v="3"/>
    <n v="26.62"/>
    <n v="1"/>
    <n v="-79.86"/>
    <n v="0.01"/>
    <n v="-0.79859999999999998"/>
    <s v="58010-010"/>
  </r>
  <r>
    <s v=""/>
    <s v="031A"/>
    <s v="031A"/>
    <s v="031A"/>
    <s v="010"/>
    <x v="17"/>
    <x v="17"/>
    <s v="W23241NWDM00"/>
    <s v="RTN010641"/>
    <d v="2026-01-13T00:00:00"/>
    <n v="6"/>
    <n v="26.62"/>
    <n v="1"/>
    <n v="-159.72"/>
    <n v="0.01"/>
    <n v="-1.5972"/>
    <s v="58010-010"/>
  </r>
  <r>
    <s v=""/>
    <s v="031A"/>
    <s v="031A"/>
    <s v="031A"/>
    <s v="010"/>
    <x v="17"/>
    <x v="17"/>
    <s v="W23241NWDM00"/>
    <s v="RTN010714"/>
    <d v="2026-01-29T00:00:00"/>
    <n v="9"/>
    <n v="26.62"/>
    <n v="1"/>
    <n v="-239.58"/>
    <n v="0.01"/>
    <n v="-2.3958000000000004"/>
    <s v="58010-010"/>
  </r>
  <r>
    <s v=""/>
    <s v="031A"/>
    <s v="031A"/>
    <s v="031A"/>
    <s v="010"/>
    <x v="17"/>
    <x v="17"/>
    <s v="W23241NWDM00"/>
    <s v="RTN010636"/>
    <d v="2026-01-13T00:00:00"/>
    <n v="6"/>
    <n v="26.62"/>
    <n v="1"/>
    <n v="-159.72"/>
    <n v="0.01"/>
    <n v="-1.5972"/>
    <s v="58010-010"/>
  </r>
  <r>
    <s v=""/>
    <s v="031A"/>
    <s v="031A"/>
    <s v="031A"/>
    <s v="010"/>
    <x v="17"/>
    <x v="17"/>
    <s v="W23241NLDM00"/>
    <s v="RTN010719"/>
    <d v="2026-01-29T00:00:00"/>
    <n v="3"/>
    <n v="26.62"/>
    <n v="1"/>
    <n v="-79.86"/>
    <n v="0.01"/>
    <n v="-0.79859999999999998"/>
    <s v="58010-010"/>
  </r>
  <r>
    <s v=""/>
    <s v="031A"/>
    <s v="031A"/>
    <s v="031A"/>
    <s v="010"/>
    <x v="17"/>
    <x v="17"/>
    <s v="W23151NL0000"/>
    <s v="RTN010715"/>
    <d v="2026-01-29T00:00:00"/>
    <n v="4.5"/>
    <n v="25.82"/>
    <n v="1"/>
    <n v="-116.19"/>
    <n v="0.01"/>
    <n v="-1.1618999999999999"/>
    <s v="58010-010"/>
  </r>
  <r>
    <s v=""/>
    <s v="031A"/>
    <s v="031A"/>
    <s v="031A"/>
    <s v="010"/>
    <x v="17"/>
    <x v="17"/>
    <s v="W23241NWDM00"/>
    <s v="RTN010639"/>
    <d v="2026-01-13T00:00:00"/>
    <n v="6"/>
    <n v="26.62"/>
    <n v="1"/>
    <n v="-159.72"/>
    <n v="0.01"/>
    <n v="-1.5972"/>
    <s v="58010-010"/>
  </r>
  <r>
    <s v=""/>
    <s v="031A"/>
    <s v="031A"/>
    <s v="031A"/>
    <s v="010"/>
    <x v="17"/>
    <x v="17"/>
    <s v="W23241NWDM00"/>
    <s v="RTN010717"/>
    <d v="2026-01-29T00:00:00"/>
    <n v="12"/>
    <n v="26.62"/>
    <n v="1"/>
    <n v="-319.44"/>
    <n v="0.01"/>
    <n v="-3.1943999999999999"/>
    <s v="58010-010"/>
  </r>
  <r>
    <s v=""/>
    <s v="031A"/>
    <s v="031A"/>
    <s v="031A"/>
    <s v="010"/>
    <x v="17"/>
    <x v="17"/>
    <s v="W23151NW0M00"/>
    <s v="RTN010643"/>
    <d v="2026-01-13T00:00:00"/>
    <n v="4.5"/>
    <n v="25.62"/>
    <n v="1"/>
    <n v="-115.29"/>
    <n v="0.01"/>
    <n v="-1.1529"/>
    <s v="58010-010"/>
  </r>
  <r>
    <s v=""/>
    <s v="031A"/>
    <s v="031A"/>
    <s v="031A"/>
    <s v="010"/>
    <x v="17"/>
    <x v="17"/>
    <s v="W23151NL0000"/>
    <s v="RTN010713"/>
    <d v="2026-01-29T00:00:00"/>
    <n v="4.5"/>
    <n v="25.82"/>
    <n v="1"/>
    <n v="-116.19"/>
    <n v="0.01"/>
    <n v="-1.1618999999999999"/>
    <s v="58010-010"/>
  </r>
  <r>
    <s v=""/>
    <s v="031A"/>
    <s v="031A"/>
    <s v="031A"/>
    <s v="010"/>
    <x v="18"/>
    <x v="18"/>
    <s v="W11455NK000B"/>
    <s v="00532760"/>
    <d v="2026-01-21T00:00:00"/>
    <n v="6"/>
    <n v="65.930000000000007"/>
    <n v="1"/>
    <n v="395.58"/>
    <n v="0.03"/>
    <n v="11.8674"/>
    <s v="50022-010"/>
  </r>
  <r>
    <s v=""/>
    <s v="031A"/>
    <s v="031A"/>
    <s v="031A"/>
    <s v="020"/>
    <x v="19"/>
    <x v="19"/>
    <s v="SP-001-62"/>
    <s v="00532721"/>
    <d v="2026-01-20T00:00:00"/>
    <n v="120000"/>
    <n v="0.12"/>
    <n v="1"/>
    <n v="14400"/>
    <n v="0.03"/>
    <n v="432"/>
    <s v="51051-020"/>
  </r>
  <r>
    <s v=""/>
    <s v="031A"/>
    <s v="031A"/>
    <s v="031A"/>
    <s v="010"/>
    <x v="19"/>
    <x v="19"/>
    <s v="W23235NL0000"/>
    <s v="00533129"/>
    <d v="2026-01-30T00:00:00"/>
    <n v="50"/>
    <n v="34.369999999999997"/>
    <n v="1"/>
    <n v="1718.5"/>
    <n v="0.03"/>
    <n v="51.555"/>
    <s v="50021-010"/>
  </r>
  <r>
    <s v=""/>
    <s v="031A"/>
    <s v="031A"/>
    <s v="031A"/>
    <s v="020"/>
    <x v="19"/>
    <x v="19"/>
    <s v="P4052AFG (KC) .880"/>
    <s v="00532610"/>
    <d v="2026-01-16T00:00:00"/>
    <n v="12000"/>
    <n v="0.17599999999999999"/>
    <n v="1"/>
    <n v="2112"/>
    <n v="0.03"/>
    <n v="63.36"/>
    <s v="51051-020"/>
  </r>
  <r>
    <s v=""/>
    <s v="031A"/>
    <s v="031A"/>
    <s v="031A"/>
    <s v="020"/>
    <x v="19"/>
    <x v="19"/>
    <s v="SP-001-62"/>
    <s v="00532386"/>
    <d v="2026-01-12T00:00:00"/>
    <n v="120000"/>
    <n v="0.12"/>
    <n v="1"/>
    <n v="14400"/>
    <n v="0.03"/>
    <n v="432"/>
    <s v="51051-020"/>
  </r>
  <r>
    <s v=""/>
    <s v="031A"/>
    <s v="031A"/>
    <s v="031A"/>
    <s v="020"/>
    <x v="19"/>
    <x v="19"/>
    <s v="P4052AFG (KC) .880"/>
    <s v="00532609"/>
    <d v="2026-01-16T00:00:00"/>
    <n v="12000"/>
    <n v="0.17599999999999999"/>
    <n v="1"/>
    <n v="2112"/>
    <n v="0.03"/>
    <n v="63.36"/>
    <s v="51051-020"/>
  </r>
  <r>
    <s v=""/>
    <s v="031A"/>
    <s v="031A"/>
    <s v="031A"/>
    <s v="023"/>
    <x v="19"/>
    <x v="19"/>
    <s v="EC-001-51"/>
    <s v="00533120"/>
    <d v="2026-01-30T00:00:00"/>
    <n v="6"/>
    <n v="166.24"/>
    <n v="1"/>
    <n v="997.44"/>
    <n v="0.03"/>
    <n v="29.923200000000001"/>
    <s v="51052-023"/>
  </r>
  <r>
    <s v=""/>
    <s v="031A"/>
    <s v="031A"/>
    <s v="031A"/>
    <s v="010"/>
    <x v="20"/>
    <x v="20"/>
    <s v="W13411NG000G"/>
    <s v="00532433"/>
    <d v="2026-01-13T00:00:00"/>
    <n v="60"/>
    <n v="46.34"/>
    <n v="1"/>
    <n v="2780.4"/>
    <n v="0.03"/>
    <n v="83.412000000000006"/>
    <s v="50022-010"/>
  </r>
  <r>
    <s v=""/>
    <s v="031A"/>
    <s v="031A"/>
    <s v="031A"/>
    <s v="010"/>
    <x v="20"/>
    <x v="20"/>
    <s v="W13401MG0000"/>
    <s v="00532433"/>
    <d v="2026-01-13T00:00:00"/>
    <n v="32"/>
    <n v="174.95"/>
    <n v="1"/>
    <n v="5598.4"/>
    <n v="0.03"/>
    <n v="167.95199999999997"/>
    <s v="50022-010"/>
  </r>
  <r>
    <s v=""/>
    <s v="031A"/>
    <s v="031A"/>
    <s v="031A"/>
    <s v="074"/>
    <x v="20"/>
    <x v="20"/>
    <s v="W13411NG000G"/>
    <s v="00532332"/>
    <d v="2026-01-09T00:00:00"/>
    <n v="16"/>
    <n v="44.02"/>
    <n v="1"/>
    <n v="704.37"/>
    <n v="0.03"/>
    <n v="21.1311"/>
    <s v="50022-074"/>
  </r>
  <r>
    <s v=""/>
    <s v="031A"/>
    <s v="031A"/>
    <s v="031A"/>
    <s v="074"/>
    <x v="20"/>
    <x v="20"/>
    <s v="W13411NG000G"/>
    <s v="00532279"/>
    <d v="2026-01-08T00:00:00"/>
    <n v="20"/>
    <n v="44.02"/>
    <n v="1"/>
    <n v="880.46"/>
    <n v="0.03"/>
    <n v="26.413799999999998"/>
    <s v="50022-074"/>
  </r>
  <r>
    <s v=""/>
    <s v="031A"/>
    <s v="031A"/>
    <s v="031A"/>
    <s v="023"/>
    <x v="21"/>
    <x v="21"/>
    <s v="M35329KH712N"/>
    <s v="00532706"/>
    <d v="2026-01-20T00:00:00"/>
    <n v="3"/>
    <n v="170.67"/>
    <n v="1"/>
    <n v="512.01"/>
    <n v="0.03"/>
    <n v="15.360299999999999"/>
    <s v="51052-023"/>
  </r>
  <r>
    <s v=""/>
    <s v="031A"/>
    <s v="031A"/>
    <s v="031A"/>
    <s v="023"/>
    <x v="21"/>
    <x v="21"/>
    <s v="M35417NF712N"/>
    <s v="00532706"/>
    <d v="2026-01-20T00:00:00"/>
    <n v="3"/>
    <n v="170.67"/>
    <n v="1"/>
    <n v="512.01"/>
    <n v="0.03"/>
    <n v="15.360299999999999"/>
    <s v="51052-023"/>
  </r>
  <r>
    <s v=""/>
    <s v="031A"/>
    <s v="031A"/>
    <s v="031A"/>
    <s v="023"/>
    <x v="21"/>
    <x v="21"/>
    <s v="M35325KH712N"/>
    <s v="00532706"/>
    <d v="2026-01-20T00:00:00"/>
    <n v="6"/>
    <n v="170.67"/>
    <n v="1"/>
    <n v="1024.02"/>
    <n v="0.03"/>
    <n v="30.720599999999997"/>
    <s v="51052-023"/>
  </r>
  <r>
    <s v=""/>
    <s v="031A"/>
    <s v="031A"/>
    <s v="031A"/>
    <s v="023"/>
    <x v="21"/>
    <x v="21"/>
    <s v="M35413NF712N"/>
    <s v="00532706"/>
    <d v="2026-01-20T00:00:00"/>
    <n v="9"/>
    <n v="170.67"/>
    <n v="1"/>
    <n v="1536.03"/>
    <n v="0.03"/>
    <n v="46.0809"/>
    <s v="51052-023"/>
  </r>
  <r>
    <s v=""/>
    <s v="031A"/>
    <s v="031A"/>
    <s v="031A"/>
    <s v="023"/>
    <x v="21"/>
    <x v="21"/>
    <s v="M35317KH712N"/>
    <s v="00532706"/>
    <d v="2026-01-20T00:00:00"/>
    <n v="12"/>
    <n v="170.67"/>
    <n v="1"/>
    <n v="2048.04"/>
    <n v="0.03"/>
    <n v="61.441199999999995"/>
    <s v="51052-023"/>
  </r>
  <r>
    <s v=""/>
    <s v="031A"/>
    <s v="031A"/>
    <s v="031A"/>
    <s v="023"/>
    <x v="21"/>
    <x v="21"/>
    <s v="M35421NF712N"/>
    <s v="00532706"/>
    <d v="2026-01-20T00:00:00"/>
    <n v="6"/>
    <n v="170.67"/>
    <n v="1"/>
    <n v="1024.02"/>
    <n v="0.03"/>
    <n v="30.720599999999997"/>
    <s v="51052-023"/>
  </r>
  <r>
    <s v=""/>
    <s v="031A"/>
    <s v="031A"/>
    <s v="031A"/>
    <s v="023"/>
    <x v="21"/>
    <x v="21"/>
    <s v="M35321KH712N"/>
    <s v="00532706"/>
    <d v="2026-01-20T00:00:00"/>
    <n v="9"/>
    <n v="170.67"/>
    <n v="1"/>
    <n v="1536.03"/>
    <n v="0.03"/>
    <n v="46.0809"/>
    <s v="51052-023"/>
  </r>
  <r>
    <s v=""/>
    <s v="031A"/>
    <s v="031A"/>
    <s v="031A"/>
    <s v="023"/>
    <x v="21"/>
    <x v="21"/>
    <s v="M35425NF712N"/>
    <s v="00532706"/>
    <d v="2026-01-20T00:00:00"/>
    <n v="6"/>
    <n v="170.67"/>
    <n v="1"/>
    <n v="1024.02"/>
    <n v="0.03"/>
    <n v="30.720599999999997"/>
    <s v="51052-023"/>
  </r>
  <r>
    <s v=""/>
    <s v="031A"/>
    <s v="031A"/>
    <s v="031A"/>
    <s v="023"/>
    <x v="21"/>
    <x v="21"/>
    <s v="M35513GJ512N"/>
    <s v="00532706"/>
    <d v="2026-01-20T00:00:00"/>
    <n v="6"/>
    <n v="170.67"/>
    <n v="1"/>
    <n v="1024.02"/>
    <n v="0.03"/>
    <n v="30.720599999999997"/>
    <s v="51052-0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"/>
    <s v="031A"/>
    <s v="031A"/>
    <s v="031A"/>
    <s v="010"/>
    <x v="0"/>
    <x v="0"/>
    <s v="W31175NK000B"/>
    <s v="RTN010744"/>
    <d v="2026-02-26T00:00:00"/>
    <n v="10"/>
    <n v="49.43"/>
    <n v="1"/>
    <n v="-494.3"/>
    <n v="0.03"/>
    <n v="-14.829000000000001"/>
    <s v="58010-010"/>
  </r>
  <r>
    <s v=""/>
    <s v="031A"/>
    <s v="031A"/>
    <s v="031A"/>
    <s v="020"/>
    <x v="0"/>
    <x v="0"/>
    <s v="AK095BL"/>
    <s v="00534117"/>
    <d v="2026-02-23T00:00:00"/>
    <n v="100"/>
    <n v="43.532299999999999"/>
    <n v="1"/>
    <n v="4353.2299999999996"/>
    <n v="0.03"/>
    <n v="130.59689999999998"/>
    <s v="51051-020"/>
  </r>
  <r>
    <s v=""/>
    <s v="031A"/>
    <s v="031A"/>
    <s v="031A"/>
    <s v="020"/>
    <x v="0"/>
    <x v="0"/>
    <s v="AK084BL"/>
    <s v="00533509"/>
    <d v="2026-02-09T00:00:00"/>
    <n v="300"/>
    <n v="23.070499999999999"/>
    <n v="1"/>
    <n v="6921.15"/>
    <n v="0.03"/>
    <n v="207.63449999999997"/>
    <s v="51051-020"/>
  </r>
  <r>
    <s v=""/>
    <s v="031A"/>
    <s v="031A"/>
    <s v="031A"/>
    <s v="074"/>
    <x v="0"/>
    <x v="0"/>
    <s v="W31175NK000B"/>
    <s v="00533734"/>
    <d v="2026-02-13T00:00:00"/>
    <n v="10"/>
    <n v="49.43"/>
    <n v="1"/>
    <n v="494.3"/>
    <n v="0.03"/>
    <n v="14.829000000000001"/>
    <s v="50021-074"/>
  </r>
  <r>
    <s v=""/>
    <s v="031A"/>
    <s v="031A"/>
    <s v="031A"/>
    <s v="010"/>
    <x v="1"/>
    <x v="1"/>
    <s v="W43251NW0V00"/>
    <s v="00533682"/>
    <d v="2026-02-12T00:00:00"/>
    <n v="18"/>
    <n v="41.64"/>
    <n v="1"/>
    <n v="749.52"/>
    <n v="0.03"/>
    <n v="22.485599999999998"/>
    <s v="50021-010"/>
  </r>
  <r>
    <s v=""/>
    <s v="031A"/>
    <s v="031A"/>
    <s v="031A"/>
    <s v="010"/>
    <x v="1"/>
    <x v="1"/>
    <s v="W21255NW0V00"/>
    <s v="00534345"/>
    <d v="2026-02-27T00:00:00"/>
    <n v="10"/>
    <n v="41.64"/>
    <n v="1"/>
    <n v="416.4"/>
    <n v="0.03"/>
    <n v="12.491999999999999"/>
    <s v="50021-010"/>
  </r>
  <r>
    <s v=""/>
    <s v="031A"/>
    <s v="031A"/>
    <s v="031A"/>
    <s v="010"/>
    <x v="1"/>
    <x v="1"/>
    <s v="W43251NW0V00"/>
    <s v="00534345"/>
    <d v="2026-02-27T00:00:00"/>
    <n v="24"/>
    <n v="41.64"/>
    <n v="1"/>
    <n v="999.36"/>
    <n v="0.03"/>
    <n v="29.980799999999999"/>
    <s v="50021-010"/>
  </r>
  <r>
    <s v=""/>
    <s v="031A"/>
    <s v="031A"/>
    <s v="031A"/>
    <s v="010"/>
    <x v="1"/>
    <x v="1"/>
    <s v="W21255NW0V00"/>
    <s v="00533441"/>
    <d v="2026-02-06T00:00:00"/>
    <n v="5"/>
    <n v="41.64"/>
    <n v="1"/>
    <n v="208.2"/>
    <n v="0.03"/>
    <n v="6.2459999999999996"/>
    <s v="50021-010"/>
  </r>
  <r>
    <s v=""/>
    <s v="031A"/>
    <s v="031A"/>
    <s v="031A"/>
    <s v="010"/>
    <x v="1"/>
    <x v="1"/>
    <s v="W43251NW0V00"/>
    <s v="00533441"/>
    <d v="2026-02-06T00:00:00"/>
    <n v="18"/>
    <n v="41.64"/>
    <n v="1"/>
    <n v="749.52"/>
    <n v="0.03"/>
    <n v="22.485599999999998"/>
    <s v="50021-010"/>
  </r>
  <r>
    <s v=""/>
    <s v="031A"/>
    <s v="031A"/>
    <s v="031A"/>
    <s v="010"/>
    <x v="1"/>
    <x v="1"/>
    <s v="W21255NW0V00"/>
    <s v="00533684"/>
    <d v="2026-02-12T00:00:00"/>
    <n v="5"/>
    <n v="41.64"/>
    <n v="1"/>
    <n v="208.2"/>
    <n v="0.03"/>
    <n v="6.2459999999999996"/>
    <s v="50021-010"/>
  </r>
  <r>
    <s v=""/>
    <s v="031A"/>
    <s v="031A"/>
    <s v="031A"/>
    <s v="061"/>
    <x v="1"/>
    <x v="1"/>
    <s v="F10599WN102N"/>
    <s v="00533676"/>
    <d v="2026-02-12T00:00:00"/>
    <n v="3"/>
    <n v="286.64999999999998"/>
    <n v="1"/>
    <n v="859.95"/>
    <n v="0.05"/>
    <n v="42.997500000000002"/>
    <s v="53031-061"/>
  </r>
  <r>
    <s v=""/>
    <s v="031A"/>
    <s v="031A"/>
    <s v="031A"/>
    <s v="061"/>
    <x v="1"/>
    <x v="1"/>
    <s v="F20399CN302N"/>
    <s v="00534343"/>
    <d v="2026-02-27T00:00:00"/>
    <n v="4"/>
    <n v="133.31"/>
    <n v="1"/>
    <n v="533.24"/>
    <n v="0.05"/>
    <n v="26.662000000000003"/>
    <s v="53031-061"/>
  </r>
  <r>
    <s v=""/>
    <s v="031A"/>
    <s v="031A"/>
    <s v="031A"/>
    <s v="061"/>
    <x v="1"/>
    <x v="1"/>
    <s v="F20399WN302N"/>
    <s v="00534343"/>
    <d v="2026-02-27T00:00:00"/>
    <n v="6"/>
    <n v="133.31"/>
    <n v="1"/>
    <n v="799.86"/>
    <n v="0.05"/>
    <n v="39.993000000000002"/>
    <s v="53031-061"/>
  </r>
  <r>
    <s v=""/>
    <s v="031A"/>
    <s v="031A"/>
    <s v="031A"/>
    <s v="061"/>
    <x v="1"/>
    <x v="1"/>
    <s v="F10599TN102N"/>
    <s v="00533678"/>
    <d v="2026-02-12T00:00:00"/>
    <n v="1"/>
    <n v="286.64999999999998"/>
    <n v="1"/>
    <n v="286.64999999999998"/>
    <n v="0.05"/>
    <n v="14.3325"/>
    <s v="53031-061"/>
  </r>
  <r>
    <s v=""/>
    <s v="031A"/>
    <s v="031A"/>
    <s v="031A"/>
    <s v="061"/>
    <x v="1"/>
    <x v="1"/>
    <s v="F20399WN302N"/>
    <s v="00534345"/>
    <d v="2026-02-27T00:00:00"/>
    <n v="10"/>
    <n v="133.31"/>
    <n v="1"/>
    <n v="1333.1"/>
    <n v="0.05"/>
    <n v="66.655000000000001"/>
    <s v="53031-061"/>
  </r>
  <r>
    <s v=""/>
    <s v="031A"/>
    <s v="031A"/>
    <s v="031A"/>
    <s v="061"/>
    <x v="1"/>
    <x v="1"/>
    <s v="EC-000-79"/>
    <s v="00533993"/>
    <d v="2026-02-19T00:00:00"/>
    <n v="63"/>
    <n v="5.6821000000000002"/>
    <n v="1"/>
    <n v="357.97"/>
    <n v="0.03"/>
    <n v="10.739100000000001"/>
    <s v="53071-061"/>
  </r>
  <r>
    <s v=""/>
    <s v="031A"/>
    <s v="031A"/>
    <s v="031A"/>
    <s v="061"/>
    <x v="1"/>
    <x v="1"/>
    <s v="EC-000-76"/>
    <s v="00533992"/>
    <d v="2026-02-19T00:00:00"/>
    <n v="882"/>
    <n v="5.6821000000000002"/>
    <n v="1"/>
    <n v="5011.6099999999997"/>
    <n v="0.03"/>
    <n v="150.34829999999999"/>
    <s v="53071-061"/>
  </r>
  <r>
    <s v=""/>
    <s v="031A"/>
    <s v="031A"/>
    <s v="031A"/>
    <s v="061"/>
    <x v="1"/>
    <x v="1"/>
    <s v="EC-000-76"/>
    <s v="00533422"/>
    <d v="2026-02-06T00:00:00"/>
    <n v="882"/>
    <n v="5.6821000000000002"/>
    <n v="1"/>
    <n v="5011.6099999999997"/>
    <n v="0.03"/>
    <n v="150.34829999999999"/>
    <s v="53071-061"/>
  </r>
  <r>
    <s v=""/>
    <s v="031A"/>
    <s v="031A"/>
    <s v="031A"/>
    <s v="010"/>
    <x v="1"/>
    <x v="1"/>
    <s v="W43251NW0V00"/>
    <s v="00533439"/>
    <d v="2026-02-06T00:00:00"/>
    <n v="24"/>
    <n v="41.64"/>
    <n v="1"/>
    <n v="999.36"/>
    <n v="0.03"/>
    <n v="29.980799999999999"/>
    <s v="50021-010"/>
  </r>
  <r>
    <s v=""/>
    <s v="031A"/>
    <s v="031A"/>
    <s v="031A"/>
    <s v="061"/>
    <x v="1"/>
    <x v="1"/>
    <s v="EC-000-79"/>
    <s v="00533863"/>
    <d v="2026-02-17T00:00:00"/>
    <n v="63"/>
    <n v="5.6821000000000002"/>
    <n v="1"/>
    <n v="357.97"/>
    <n v="0.03"/>
    <n v="10.739100000000001"/>
    <s v="53071-061"/>
  </r>
  <r>
    <s v=""/>
    <s v="031A"/>
    <s v="031A"/>
    <s v="031A"/>
    <s v="061"/>
    <x v="1"/>
    <x v="1"/>
    <s v="EC-000-78"/>
    <s v="00533442"/>
    <d v="2026-02-06T00:00:00"/>
    <n v="63"/>
    <n v="5.6821000000000002"/>
    <n v="1"/>
    <n v="357.97"/>
    <n v="0.03"/>
    <n v="10.739100000000001"/>
    <s v="53071-061"/>
  </r>
  <r>
    <s v=""/>
    <s v="031A"/>
    <s v="031A"/>
    <s v="031A"/>
    <s v="061"/>
    <x v="1"/>
    <x v="1"/>
    <s v="EC-000-76"/>
    <s v="00533436"/>
    <d v="2026-02-06T00:00:00"/>
    <n v="882"/>
    <n v="5.6821000000000002"/>
    <n v="1"/>
    <n v="5011.6099999999997"/>
    <n v="0.03"/>
    <n v="150.34829999999999"/>
    <s v="53071-061"/>
  </r>
  <r>
    <s v=""/>
    <s v="031A"/>
    <s v="031A"/>
    <s v="031A"/>
    <s v="061"/>
    <x v="1"/>
    <x v="1"/>
    <s v="EC-000-76"/>
    <s v="00533440"/>
    <d v="2026-02-06T00:00:00"/>
    <n v="882"/>
    <n v="5.6821000000000002"/>
    <n v="1"/>
    <n v="5011.6099999999997"/>
    <n v="0.03"/>
    <n v="150.34829999999999"/>
    <s v="53071-061"/>
  </r>
  <r>
    <s v=""/>
    <s v="031A"/>
    <s v="031A"/>
    <s v="031A"/>
    <s v="061"/>
    <x v="1"/>
    <x v="1"/>
    <s v="EC-000-75"/>
    <s v="00533989"/>
    <d v="2026-02-19T00:00:00"/>
    <n v="63"/>
    <n v="5.6821000000000002"/>
    <n v="1"/>
    <n v="357.97"/>
    <n v="0.03"/>
    <n v="10.739100000000001"/>
    <s v="53071-061"/>
  </r>
  <r>
    <s v=""/>
    <s v="031A"/>
    <s v="031A"/>
    <s v="031A"/>
    <s v="061"/>
    <x v="1"/>
    <x v="1"/>
    <s v="EC-000-75"/>
    <s v="00533994"/>
    <d v="2026-02-19T00:00:00"/>
    <n v="252"/>
    <n v="5.6821000000000002"/>
    <n v="1"/>
    <n v="1431.89"/>
    <n v="0.03"/>
    <n v="42.956699999999998"/>
    <s v="53071-061"/>
  </r>
  <r>
    <s v=""/>
    <s v="031A"/>
    <s v="031A"/>
    <s v="031A"/>
    <s v="061"/>
    <x v="1"/>
    <x v="1"/>
    <s v="EC-000-78"/>
    <s v="00534003"/>
    <d v="2026-02-19T00:00:00"/>
    <n v="63"/>
    <n v="5.6821000000000002"/>
    <n v="1"/>
    <n v="357.97"/>
    <n v="0.03"/>
    <n v="10.739100000000001"/>
    <s v="53071-061"/>
  </r>
  <r>
    <s v=""/>
    <s v="031A"/>
    <s v="031A"/>
    <s v="031A"/>
    <s v="061"/>
    <x v="2"/>
    <x v="2"/>
    <s v="E26218KN3020"/>
    <s v="00533984"/>
    <d v="2026-02-19T00:00:00"/>
    <n v="50"/>
    <n v="102.35"/>
    <n v="1"/>
    <n v="5117.5"/>
    <n v="0.03"/>
    <n v="153.52500000000001"/>
    <s v="53071-061"/>
  </r>
  <r>
    <s v=""/>
    <s v="031A"/>
    <s v="031A"/>
    <s v="031A"/>
    <s v="010"/>
    <x v="2"/>
    <x v="2"/>
    <s v="W232019G000G"/>
    <s v="00534070"/>
    <d v="2026-02-20T00:00:00"/>
    <n v="12"/>
    <n v="41.98"/>
    <n v="1"/>
    <n v="503.76"/>
    <n v="0.03"/>
    <n v="15.1128"/>
    <s v="50021-010"/>
  </r>
  <r>
    <s v=""/>
    <s v="031A"/>
    <s v="031A"/>
    <s v="031A"/>
    <s v="010"/>
    <x v="2"/>
    <x v="2"/>
    <s v="W212149G000G"/>
    <s v="00534113"/>
    <d v="2026-02-23T00:00:00"/>
    <n v="15"/>
    <n v="41.98"/>
    <n v="1"/>
    <n v="629.70000000000005"/>
    <n v="0.03"/>
    <n v="18.891000000000002"/>
    <s v="50021-010"/>
  </r>
  <r>
    <s v=""/>
    <s v="031A"/>
    <s v="031A"/>
    <s v="031A"/>
    <s v="010"/>
    <x v="2"/>
    <x v="2"/>
    <s v="W212149G000G"/>
    <s v="00533786"/>
    <d v="2026-02-16T00:00:00"/>
    <n v="15"/>
    <n v="41.98"/>
    <n v="1"/>
    <n v="629.70000000000005"/>
    <n v="0.03"/>
    <n v="18.891000000000002"/>
    <s v="50021-010"/>
  </r>
  <r>
    <s v=""/>
    <s v="031A"/>
    <s v="031A"/>
    <s v="031A"/>
    <s v="061"/>
    <x v="2"/>
    <x v="2"/>
    <s v="E20118KN5020"/>
    <s v="00533416"/>
    <d v="2026-02-06T00:00:00"/>
    <n v="99"/>
    <n v="65.75"/>
    <n v="1"/>
    <n v="6509.25"/>
    <n v="0.03"/>
    <n v="195.2775"/>
    <s v="53071-061"/>
  </r>
  <r>
    <s v=""/>
    <s v="031A"/>
    <s v="031A"/>
    <s v="031A"/>
    <s v="010"/>
    <x v="3"/>
    <x v="3"/>
    <s v="W23291NW0000"/>
    <s v="00533323"/>
    <d v="2026-02-04T00:00:00"/>
    <n v="15"/>
    <n v="43.12"/>
    <n v="1"/>
    <n v="646.79999999999995"/>
    <n v="0.03"/>
    <n v="19.403999999999996"/>
    <s v="50021-010"/>
  </r>
  <r>
    <s v=""/>
    <s v="031A"/>
    <s v="031A"/>
    <s v="031A"/>
    <s v="061"/>
    <x v="4"/>
    <x v="4"/>
    <s v="E10918WN7020"/>
    <s v="00533639"/>
    <d v="2026-02-12T00:00:00"/>
    <n v="40"/>
    <n v="79.680000000000007"/>
    <n v="1"/>
    <n v="3187.2"/>
    <n v="0.03"/>
    <n v="95.615999999999985"/>
    <s v="53071-061"/>
  </r>
  <r>
    <s v=""/>
    <s v="031A"/>
    <s v="031A"/>
    <s v="031A"/>
    <s v="010"/>
    <x v="5"/>
    <x v="5"/>
    <s v="W234019W0000"/>
    <s v="00533321"/>
    <d v="2026-02-04T00:00:00"/>
    <n v="32"/>
    <n v="45.13"/>
    <n v="1"/>
    <n v="1444.16"/>
    <n v="0.03"/>
    <n v="43.324800000000003"/>
    <s v="50021-010"/>
  </r>
  <r>
    <s v=""/>
    <s v="031A"/>
    <s v="031A"/>
    <s v="031A"/>
    <s v="010"/>
    <x v="5"/>
    <x v="5"/>
    <s v="W23505NG000G"/>
    <s v="00533321"/>
    <d v="2026-02-04T00:00:00"/>
    <n v="15"/>
    <n v="45.13"/>
    <n v="1"/>
    <n v="676.95"/>
    <n v="0.03"/>
    <n v="20.308500000000002"/>
    <s v="50021-010"/>
  </r>
  <r>
    <s v=""/>
    <s v="031A"/>
    <s v="031A"/>
    <s v="031A"/>
    <s v="010"/>
    <x v="5"/>
    <x v="5"/>
    <s v="W23505NB0000"/>
    <s v="00533321"/>
    <d v="2026-02-04T00:00:00"/>
    <n v="6"/>
    <n v="45.13"/>
    <n v="1"/>
    <n v="270.77999999999997"/>
    <n v="0.03"/>
    <n v="8.1233999999999984"/>
    <s v="50021-010"/>
  </r>
  <r>
    <s v=""/>
    <s v="031A"/>
    <s v="031A"/>
    <s v="031A"/>
    <s v="010"/>
    <x v="5"/>
    <x v="5"/>
    <s v="W234019W0000"/>
    <s v="00533316"/>
    <d v="2026-02-04T00:00:00"/>
    <n v="32"/>
    <n v="45.13"/>
    <n v="1"/>
    <n v="1444.16"/>
    <n v="0.03"/>
    <n v="43.324800000000003"/>
    <s v="50021-010"/>
  </r>
  <r>
    <s v=""/>
    <s v="031A"/>
    <s v="031A"/>
    <s v="031A"/>
    <s v="010"/>
    <x v="5"/>
    <x v="5"/>
    <s v="W234519W0000"/>
    <s v="00533316"/>
    <d v="2026-02-04T00:00:00"/>
    <n v="24"/>
    <n v="45.13"/>
    <n v="1"/>
    <n v="1083.1199999999999"/>
    <n v="0.03"/>
    <n v="32.493599999999994"/>
    <s v="50021-010"/>
  </r>
  <r>
    <s v=""/>
    <s v="031A"/>
    <s v="031A"/>
    <s v="031A"/>
    <s v="010"/>
    <x v="6"/>
    <x v="6"/>
    <s v="W232919W0000"/>
    <s v="00534071"/>
    <d v="2026-02-20T00:00:00"/>
    <n v="40"/>
    <n v="40.299999999999997"/>
    <n v="1"/>
    <n v="1612"/>
    <n v="0.03"/>
    <n v="48.36"/>
    <s v="50021-010"/>
  </r>
  <r>
    <s v=""/>
    <s v="031A"/>
    <s v="031A"/>
    <s v="031A"/>
    <s v="010"/>
    <x v="6"/>
    <x v="6"/>
    <s v="W232919W0000"/>
    <s v="00533679"/>
    <d v="2026-02-12T00:00:00"/>
    <n v="50"/>
    <n v="40.299999999999997"/>
    <n v="1"/>
    <n v="2015"/>
    <n v="0.03"/>
    <n v="60.449999999999996"/>
    <s v="50021-010"/>
  </r>
  <r>
    <s v=""/>
    <s v="031A"/>
    <s v="031A"/>
    <s v="031A"/>
    <s v="010"/>
    <x v="6"/>
    <x v="6"/>
    <s v="W232919W0000"/>
    <s v="00533677"/>
    <d v="2026-02-12T00:00:00"/>
    <n v="80"/>
    <n v="40.299999999999997"/>
    <n v="1"/>
    <n v="3224"/>
    <n v="0.03"/>
    <n v="96.72"/>
    <s v="50021-010"/>
  </r>
  <r>
    <s v=""/>
    <s v="031A"/>
    <s v="031A"/>
    <s v="031A"/>
    <s v="010"/>
    <x v="6"/>
    <x v="6"/>
    <s v="W43351NW0000"/>
    <s v="00534337"/>
    <d v="2026-02-27T00:00:00"/>
    <n v="40"/>
    <n v="40.299999999999997"/>
    <n v="1"/>
    <n v="1612"/>
    <n v="0.03"/>
    <n v="48.36"/>
    <s v="50021-010"/>
  </r>
  <r>
    <s v=""/>
    <s v="031A"/>
    <s v="031A"/>
    <s v="031A"/>
    <s v="075"/>
    <x v="7"/>
    <x v="7"/>
    <s v="W21225NG000G"/>
    <s v="00533593"/>
    <d v="2026-02-11T00:00:00"/>
    <n v="45"/>
    <n v="40.549999999999997"/>
    <n v="1"/>
    <n v="1824.75"/>
    <n v="0.03"/>
    <n v="54.7425"/>
    <s v="50021-075"/>
  </r>
  <r>
    <s v=""/>
    <s v="031A"/>
    <s v="031A"/>
    <s v="031A"/>
    <s v="020"/>
    <x v="7"/>
    <x v="7"/>
    <s v="AK084BL"/>
    <s v="00533381"/>
    <d v="2026-02-05T00:00:00"/>
    <n v="100"/>
    <n v="25.688400000000001"/>
    <n v="1"/>
    <n v="2568.84"/>
    <n v="0.03"/>
    <n v="77.065200000000004"/>
    <s v="51051-020"/>
  </r>
  <r>
    <s v=""/>
    <s v="031A"/>
    <s v="031A"/>
    <s v="031A"/>
    <s v="010"/>
    <x v="8"/>
    <x v="8"/>
    <s v="W13501NG000G"/>
    <s v="00534309"/>
    <d v="2026-02-26T00:00:00"/>
    <n v="27"/>
    <n v="36.630000000000003"/>
    <n v="1"/>
    <n v="989.01"/>
    <n v="0.03"/>
    <n v="29.670299999999997"/>
    <s v="50022-010"/>
  </r>
  <r>
    <s v=""/>
    <s v="031A"/>
    <s v="031A"/>
    <s v="031A"/>
    <s v="074"/>
    <x v="8"/>
    <x v="8"/>
    <s v="W13501NG000G"/>
    <s v="00533241"/>
    <d v="2026-02-03T00:00:00"/>
    <n v="30"/>
    <n v="36.630000000000003"/>
    <n v="1"/>
    <n v="1098.9000000000001"/>
    <n v="0.03"/>
    <n v="32.966999999999999"/>
    <s v="50022-074"/>
  </r>
  <r>
    <s v=""/>
    <s v="031A"/>
    <s v="031A"/>
    <s v="031A"/>
    <s v="010"/>
    <x v="8"/>
    <x v="8"/>
    <s v="W13451NG000G"/>
    <s v="00533258"/>
    <d v="2026-02-03T00:00:00"/>
    <n v="30"/>
    <n v="35.82"/>
    <n v="1"/>
    <n v="1074.5999999999999"/>
    <n v="0.03"/>
    <n v="32.238"/>
    <s v="50022-010"/>
  </r>
  <r>
    <s v=""/>
    <s v="031A"/>
    <s v="031A"/>
    <s v="031A"/>
    <s v="074"/>
    <x v="8"/>
    <x v="8"/>
    <s v="W13451NG000G"/>
    <s v="00534253"/>
    <d v="2026-02-26T00:00:00"/>
    <n v="54"/>
    <n v="35.82"/>
    <n v="1"/>
    <n v="1934.28"/>
    <n v="0.03"/>
    <n v="58.028399999999998"/>
    <s v="50022-074"/>
  </r>
  <r>
    <s v=""/>
    <s v="031A"/>
    <s v="031A"/>
    <s v="031A"/>
    <s v="010"/>
    <x v="9"/>
    <x v="9"/>
    <s v="W13431NG000G"/>
    <s v="00533625"/>
    <d v="2026-02-11T00:00:00"/>
    <n v="8"/>
    <n v="50.16"/>
    <n v="1"/>
    <n v="401.28"/>
    <n v="0.03"/>
    <n v="12.038399999999999"/>
    <s v="50022-010"/>
  </r>
  <r>
    <s v=""/>
    <s v="031A"/>
    <s v="031A"/>
    <s v="031A"/>
    <s v="074"/>
    <x v="9"/>
    <x v="9"/>
    <s v="W13191NW0000"/>
    <s v="00533359"/>
    <d v="2026-02-05T00:00:00"/>
    <n v="12"/>
    <n v="50.16"/>
    <n v="1"/>
    <n v="601.91999999999996"/>
    <n v="0.03"/>
    <n v="18.057599999999997"/>
    <s v="50022-074"/>
  </r>
  <r>
    <s v=""/>
    <s v="031A"/>
    <s v="031A"/>
    <s v="031A"/>
    <s v="074"/>
    <x v="9"/>
    <x v="9"/>
    <s v="W11135NG000G"/>
    <s v="00533985"/>
    <d v="2026-02-19T00:00:00"/>
    <n v="12"/>
    <n v="50.16"/>
    <n v="1"/>
    <n v="601.91999999999996"/>
    <n v="0.03"/>
    <n v="18.057599999999997"/>
    <s v="50022-074"/>
  </r>
  <r>
    <s v=""/>
    <s v="031A"/>
    <s v="031A"/>
    <s v="031A"/>
    <s v="074"/>
    <x v="9"/>
    <x v="9"/>
    <s v="W23251NK000B"/>
    <s v="00533982"/>
    <d v="2026-02-19T00:00:00"/>
    <n v="12"/>
    <n v="53.53"/>
    <n v="1"/>
    <n v="642.36"/>
    <n v="0.03"/>
    <n v="19.270800000000001"/>
    <s v="50021-074"/>
  </r>
  <r>
    <s v=""/>
    <s v="031A"/>
    <s v="031A"/>
    <s v="031A"/>
    <s v="074"/>
    <x v="9"/>
    <x v="9"/>
    <s v="W23251NW0000"/>
    <s v="00533359"/>
    <d v="2026-02-05T00:00:00"/>
    <n v="24"/>
    <n v="53.53"/>
    <n v="1"/>
    <n v="1284.72"/>
    <n v="0.03"/>
    <n v="38.541600000000003"/>
    <s v="50021-074"/>
  </r>
  <r>
    <s v=""/>
    <s v="031A"/>
    <s v="031A"/>
    <s v="031A"/>
    <s v="061"/>
    <x v="9"/>
    <x v="9"/>
    <s v="E11518WN3020"/>
    <s v="00533606"/>
    <d v="2026-02-11T00:00:00"/>
    <n v="10"/>
    <n v="183.66"/>
    <n v="1"/>
    <n v="1836.6"/>
    <n v="0.03"/>
    <n v="55.097999999999992"/>
    <s v="53071-061"/>
  </r>
  <r>
    <s v=""/>
    <s v="031A"/>
    <s v="031A"/>
    <s v="031A"/>
    <s v="061"/>
    <x v="9"/>
    <x v="9"/>
    <s v="E10218BN3020"/>
    <s v="00534243"/>
    <d v="2026-02-23T00:00:00"/>
    <n v="10"/>
    <n v="105.24"/>
    <n v="1"/>
    <n v="1052.4000000000001"/>
    <n v="0.03"/>
    <n v="31.572000000000003"/>
    <s v="53071-061"/>
  </r>
  <r>
    <s v=""/>
    <s v="031A"/>
    <s v="031A"/>
    <s v="031A"/>
    <s v="061"/>
    <x v="9"/>
    <x v="9"/>
    <s v="E21818BN3020"/>
    <s v="00534243"/>
    <d v="2026-02-23T00:00:00"/>
    <n v="10"/>
    <n v="153.53"/>
    <n v="1"/>
    <n v="1535.3"/>
    <n v="0.03"/>
    <n v="46.058999999999997"/>
    <s v="53071-061"/>
  </r>
  <r>
    <s v=""/>
    <s v="031A"/>
    <s v="031A"/>
    <s v="031A"/>
    <s v="010"/>
    <x v="9"/>
    <x v="9"/>
    <s v="W21345NW0000"/>
    <s v="00534130"/>
    <d v="2026-02-24T00:00:00"/>
    <n v="8"/>
    <n v="53.53"/>
    <n v="1"/>
    <n v="428.24"/>
    <n v="0.03"/>
    <n v="12.847199999999999"/>
    <s v="50021-010"/>
  </r>
  <r>
    <s v=""/>
    <s v="031A"/>
    <s v="031A"/>
    <s v="031A"/>
    <s v="061"/>
    <x v="9"/>
    <x v="9"/>
    <s v="E10218WN3020"/>
    <s v="00533360"/>
    <d v="2026-02-05T00:00:00"/>
    <n v="20"/>
    <n v="105.24"/>
    <n v="1"/>
    <n v="2104.8000000000002"/>
    <n v="0.03"/>
    <n v="63.144000000000005"/>
    <s v="53071-061"/>
  </r>
  <r>
    <s v=""/>
    <s v="031A"/>
    <s v="031A"/>
    <s v="031A"/>
    <s v="061"/>
    <x v="10"/>
    <x v="10"/>
    <s v="EC-000-51"/>
    <s v="00534177"/>
    <d v="2026-02-24T00:00:00"/>
    <n v="40"/>
    <n v="183.45"/>
    <n v="1"/>
    <n v="7338"/>
    <n v="0.03"/>
    <n v="220.14"/>
    <s v="53071-061"/>
  </r>
  <r>
    <s v=""/>
    <s v="031A"/>
    <s v="031A"/>
    <s v="031A"/>
    <s v="075"/>
    <x v="11"/>
    <x v="11"/>
    <s v="W13161NK000B"/>
    <s v="00533725"/>
    <d v="2026-02-13T00:00:00"/>
    <n v="48"/>
    <n v="38.590000000000003"/>
    <n v="1"/>
    <n v="1852.32"/>
    <n v="0.03"/>
    <n v="55.569599999999994"/>
    <s v="50022-075"/>
  </r>
  <r>
    <s v=""/>
    <s v="031A"/>
    <s v="031A"/>
    <s v="031A"/>
    <s v="075"/>
    <x v="11"/>
    <x v="11"/>
    <s v="W233919K000B"/>
    <s v="00533725"/>
    <d v="2026-02-13T00:00:00"/>
    <n v="8"/>
    <n v="50.75"/>
    <n v="1"/>
    <n v="406"/>
    <n v="0.03"/>
    <n v="12.18"/>
    <s v="50021-075"/>
  </r>
  <r>
    <s v=""/>
    <s v="031A"/>
    <s v="031A"/>
    <s v="031A"/>
    <s v="074"/>
    <x v="12"/>
    <x v="12"/>
    <s v="W13751NK000B"/>
    <s v="00533816"/>
    <d v="2026-02-16T00:00:00"/>
    <n v="10"/>
    <n v="92.78"/>
    <n v="1"/>
    <n v="927.8"/>
    <n v="0.03"/>
    <n v="27.833999999999996"/>
    <s v="50022-074"/>
  </r>
  <r>
    <s v=""/>
    <s v="031A"/>
    <s v="031A"/>
    <s v="031A"/>
    <s v="010"/>
    <x v="13"/>
    <x v="13"/>
    <s v="W13315NK000B"/>
    <s v="00533186"/>
    <d v="2026-02-02T00:00:00"/>
    <n v="20"/>
    <n v="45.47"/>
    <n v="1"/>
    <n v="909.4"/>
    <n v="0.03"/>
    <n v="27.282"/>
    <s v="50022-010"/>
  </r>
  <r>
    <s v=""/>
    <s v="031A"/>
    <s v="031A"/>
    <s v="031A"/>
    <s v="010"/>
    <x v="13"/>
    <x v="13"/>
    <s v="W13485NK000B"/>
    <s v="00533186"/>
    <d v="2026-02-02T00:00:00"/>
    <n v="8"/>
    <n v="77.36"/>
    <n v="1"/>
    <n v="618.88"/>
    <n v="0.03"/>
    <n v="18.566399999999998"/>
    <s v="50022-010"/>
  </r>
  <r>
    <s v=""/>
    <s v="031A"/>
    <s v="031A"/>
    <s v="031A"/>
    <s v="023"/>
    <x v="14"/>
    <x v="14"/>
    <s v="M05244NR312N"/>
    <s v="00534353"/>
    <d v="2026-02-27T00:00:00"/>
    <n v="8"/>
    <n v="397.04"/>
    <n v="1"/>
    <n v="3176.32"/>
    <n v="0.03"/>
    <n v="95.289600000000007"/>
    <s v="51052-023"/>
  </r>
  <r>
    <s v=""/>
    <s v="031A"/>
    <s v="031A"/>
    <s v="031A"/>
    <s v="010"/>
    <x v="15"/>
    <x v="15"/>
    <s v="W23151NW0M00"/>
    <s v="00533804"/>
    <d v="2026-02-16T00:00:00"/>
    <n v="90"/>
    <n v="26.26"/>
    <n v="1"/>
    <n v="2363.4"/>
    <n v="0.01"/>
    <n v="23.634"/>
    <s v="50021-010"/>
  </r>
  <r>
    <s v=""/>
    <s v="031A"/>
    <s v="031A"/>
    <s v="031A"/>
    <s v="010"/>
    <x v="15"/>
    <x v="15"/>
    <s v="W23151NL0000"/>
    <s v="00533804"/>
    <d v="2026-02-16T00:00:00"/>
    <n v="90"/>
    <n v="26.47"/>
    <n v="1"/>
    <n v="2382.3000000000002"/>
    <n v="0.01"/>
    <n v="23.823000000000004"/>
    <s v="50021-010"/>
  </r>
  <r>
    <s v=""/>
    <s v="031A"/>
    <s v="031A"/>
    <s v="031A"/>
    <s v="010"/>
    <x v="15"/>
    <x v="15"/>
    <s v="W23241NLDM00"/>
    <s v="00533804"/>
    <d v="2026-02-16T00:00:00"/>
    <n v="120"/>
    <n v="27.29"/>
    <n v="1"/>
    <n v="3274.8"/>
    <n v="0.01"/>
    <n v="32.748000000000005"/>
    <s v="50021-010"/>
  </r>
  <r>
    <s v=""/>
    <s v="031A"/>
    <s v="031A"/>
    <s v="031A"/>
    <s v="010"/>
    <x v="15"/>
    <x v="15"/>
    <s v="W23241NWDM00"/>
    <s v="00533804"/>
    <d v="2026-02-16T00:00:00"/>
    <n v="360"/>
    <n v="27.29"/>
    <n v="1"/>
    <n v="9824.4"/>
    <n v="0.01"/>
    <n v="98.244"/>
    <s v="50021-010"/>
  </r>
  <r>
    <s v=""/>
    <s v="031A"/>
    <s v="031A"/>
    <s v="031A"/>
    <s v="010"/>
    <x v="15"/>
    <x v="15"/>
    <s v="W23241NK000B"/>
    <s v="00533800"/>
    <d v="2026-02-16T00:00:00"/>
    <n v="114"/>
    <n v="27.29"/>
    <n v="1"/>
    <n v="3111.06"/>
    <n v="0.01"/>
    <n v="31.110600000000002"/>
    <s v="50021-010"/>
  </r>
  <r>
    <s v=""/>
    <s v="031A"/>
    <s v="031A"/>
    <s v="031A"/>
    <s v="010"/>
    <x v="15"/>
    <x v="15"/>
    <s v="W23321NK000B"/>
    <s v="00533800"/>
    <d v="2026-02-16T00:00:00"/>
    <n v="70"/>
    <n v="29.12"/>
    <n v="1"/>
    <n v="2038.4"/>
    <n v="0.01"/>
    <n v="20.384"/>
    <s v="50021-010"/>
  </r>
  <r>
    <s v=""/>
    <s v="031A"/>
    <s v="031A"/>
    <s v="031A"/>
    <s v="010"/>
    <x v="15"/>
    <x v="15"/>
    <s v="W23241NLDM00"/>
    <s v="00533507"/>
    <d v="2026-02-09T00:00:00"/>
    <n v="120"/>
    <n v="27.29"/>
    <n v="1"/>
    <n v="3274.8"/>
    <n v="0.01"/>
    <n v="32.748000000000005"/>
    <s v="50021-010"/>
  </r>
  <r>
    <s v=""/>
    <s v="031A"/>
    <s v="031A"/>
    <s v="031A"/>
    <s v="010"/>
    <x v="15"/>
    <x v="15"/>
    <s v="W23241NWDM00"/>
    <s v="00533507"/>
    <d v="2026-02-09T00:00:00"/>
    <n v="480"/>
    <n v="27.29"/>
    <n v="1"/>
    <n v="13099.2"/>
    <n v="0.01"/>
    <n v="130.99200000000002"/>
    <s v="50021-010"/>
  </r>
  <r>
    <s v=""/>
    <s v="031A"/>
    <s v="031A"/>
    <s v="031A"/>
    <s v="010"/>
    <x v="15"/>
    <x v="15"/>
    <s v="W23241NWDM00"/>
    <s v="00534156"/>
    <d v="2026-02-24T00:00:00"/>
    <n v="480"/>
    <n v="27.29"/>
    <n v="1"/>
    <n v="13099.2"/>
    <n v="0.01"/>
    <n v="130.99200000000002"/>
    <s v="50021-010"/>
  </r>
  <r>
    <s v=""/>
    <s v="031A"/>
    <s v="031A"/>
    <s v="031A"/>
    <s v="010"/>
    <x v="15"/>
    <x v="15"/>
    <s v="W23241NK000B"/>
    <s v="00533565"/>
    <d v="2026-02-10T00:00:00"/>
    <n v="126"/>
    <n v="27.29"/>
    <n v="1"/>
    <n v="3438.54"/>
    <n v="0.01"/>
    <n v="34.385399999999997"/>
    <s v="50021-010"/>
  </r>
  <r>
    <s v=""/>
    <s v="031A"/>
    <s v="031A"/>
    <s v="031A"/>
    <s v="010"/>
    <x v="15"/>
    <x v="15"/>
    <s v="W23321NK000B"/>
    <s v="00533565"/>
    <d v="2026-02-10T00:00:00"/>
    <n v="130"/>
    <n v="29.12"/>
    <n v="1"/>
    <n v="3785.6"/>
    <n v="0.01"/>
    <n v="37.856000000000002"/>
    <s v="50021-010"/>
  </r>
  <r>
    <s v=""/>
    <s v="031A"/>
    <s v="031A"/>
    <s v="031A"/>
    <s v="010"/>
    <x v="16"/>
    <x v="16"/>
    <s v="W23235NL0000"/>
    <s v="00533192"/>
    <d v="2026-02-02T00:00:00"/>
    <n v="5"/>
    <n v="34.369999999999997"/>
    <n v="1"/>
    <n v="171.85"/>
    <n v="0.03"/>
    <n v="5.1555"/>
    <s v="50021-010"/>
  </r>
  <r>
    <s v=""/>
    <s v="031A"/>
    <s v="031A"/>
    <s v="031A"/>
    <s v="010"/>
    <x v="16"/>
    <x v="16"/>
    <s v="W23235NL0000"/>
    <s v="00534118"/>
    <d v="2026-02-23T00:00:00"/>
    <n v="10"/>
    <n v="34.369999999999997"/>
    <n v="1"/>
    <n v="343.7"/>
    <n v="0.03"/>
    <n v="10.311"/>
    <s v="50021-010"/>
  </r>
  <r>
    <s v=""/>
    <s v="031A"/>
    <s v="031A"/>
    <s v="031A"/>
    <s v="020"/>
    <x v="16"/>
    <x v="16"/>
    <s v="P4052AFG (KC) .880"/>
    <s v="00533490"/>
    <d v="2026-02-09T00:00:00"/>
    <n v="36000"/>
    <n v="0.17599999999999999"/>
    <n v="1"/>
    <n v="6336"/>
    <n v="0.03"/>
    <n v="190.07999999999998"/>
    <s v="51051-0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"/>
    <s v="031A"/>
    <s v="031A"/>
    <s v="031A"/>
    <s v="010"/>
    <x v="0"/>
    <x v="0"/>
    <s v="W21265NG000G"/>
    <s v="00534915"/>
    <d v="2026-03-13T00:00:00"/>
    <n v="10"/>
    <n v="50.45"/>
    <n v="1"/>
    <n v="504.5"/>
    <n v="0.03"/>
    <n v="15.135"/>
    <s v="50021-010"/>
  </r>
  <r>
    <s v=""/>
    <s v="031A"/>
    <s v="031A"/>
    <s v="031A"/>
    <s v="010"/>
    <x v="0"/>
    <x v="0"/>
    <s v="W21261NG000G"/>
    <s v="00534915"/>
    <d v="2026-03-13T00:00:00"/>
    <n v="10"/>
    <n v="50.22"/>
    <n v="1"/>
    <n v="502.2"/>
    <n v="0.03"/>
    <n v="15.065999999999999"/>
    <s v="50021-010"/>
  </r>
  <r>
    <s v=""/>
    <s v="031A"/>
    <s v="031A"/>
    <s v="031A"/>
    <s v="010"/>
    <x v="0"/>
    <x v="0"/>
    <s v="W21265NG000G"/>
    <s v="00535440"/>
    <d v="2026-03-26T00:00:00"/>
    <n v="10"/>
    <n v="50.45"/>
    <n v="1"/>
    <n v="504.5"/>
    <n v="0.03"/>
    <n v="15.135"/>
    <s v="50021-010"/>
  </r>
  <r>
    <s v=""/>
    <s v="031A"/>
    <s v="031A"/>
    <s v="031A"/>
    <s v="074"/>
    <x v="0"/>
    <x v="0"/>
    <s v="W31175NG000G"/>
    <s v="00535564"/>
    <d v="2026-03-30T00:00:00"/>
    <n v="10"/>
    <n v="49.34"/>
    <n v="1"/>
    <n v="493.4"/>
    <n v="0.03"/>
    <n v="14.802"/>
    <s v="50021-074"/>
  </r>
  <r>
    <s v=""/>
    <s v="031A"/>
    <s v="031A"/>
    <s v="031A"/>
    <s v="075"/>
    <x v="0"/>
    <x v="0"/>
    <s v="W21205NG000G"/>
    <s v="00534836"/>
    <d v="2026-03-11T00:00:00"/>
    <n v="10"/>
    <n v="50.35"/>
    <n v="1"/>
    <n v="503.5"/>
    <n v="0.03"/>
    <n v="15.104999999999999"/>
    <s v="50021-075"/>
  </r>
  <r>
    <s v=""/>
    <s v="031A"/>
    <s v="031A"/>
    <s v="031A"/>
    <s v="010"/>
    <x v="1"/>
    <x v="1"/>
    <s v="W13381NW0V00"/>
    <s v="00535439"/>
    <d v="2026-03-26T00:00:00"/>
    <n v="8"/>
    <n v="30.28"/>
    <n v="1"/>
    <n v="242.24"/>
    <n v="0.03"/>
    <n v="7.2671999999999999"/>
    <s v="50022-010"/>
  </r>
  <r>
    <s v=""/>
    <s v="031A"/>
    <s v="031A"/>
    <s v="031A"/>
    <s v="010"/>
    <x v="1"/>
    <x v="1"/>
    <s v="W41325NW0V00"/>
    <s v="00535441"/>
    <d v="2026-03-26T00:00:00"/>
    <n v="8"/>
    <n v="41.64"/>
    <n v="1"/>
    <n v="333.12"/>
    <n v="0.03"/>
    <n v="9.9935999999999989"/>
    <s v="50021-010"/>
  </r>
  <r>
    <s v=""/>
    <s v="031A"/>
    <s v="031A"/>
    <s v="031A"/>
    <s v="010"/>
    <x v="1"/>
    <x v="1"/>
    <s v="W43251NW0V00"/>
    <s v="00535441"/>
    <d v="2026-03-26T00:00:00"/>
    <n v="24"/>
    <n v="41.64"/>
    <n v="1"/>
    <n v="999.36"/>
    <n v="0.03"/>
    <n v="29.980799999999999"/>
    <s v="50021-010"/>
  </r>
  <r>
    <s v=""/>
    <s v="031A"/>
    <s v="031A"/>
    <s v="031A"/>
    <s v="010"/>
    <x v="1"/>
    <x v="1"/>
    <s v="W21165NW0V00"/>
    <s v="00535441"/>
    <d v="2026-03-26T00:00:00"/>
    <n v="6"/>
    <n v="41.64"/>
    <n v="1"/>
    <n v="249.84"/>
    <n v="0.03"/>
    <n v="7.4951999999999996"/>
    <s v="50021-010"/>
  </r>
  <r>
    <s v=""/>
    <s v="031A"/>
    <s v="031A"/>
    <s v="031A"/>
    <s v="010"/>
    <x v="1"/>
    <x v="1"/>
    <s v="W21165NW0V00"/>
    <s v="00535638"/>
    <d v="2026-03-31T00:00:00"/>
    <n v="6"/>
    <n v="41.64"/>
    <n v="1"/>
    <n v="249.84"/>
    <n v="0.03"/>
    <n v="7.4951999999999996"/>
    <s v="50021-010"/>
  </r>
  <r>
    <s v=""/>
    <s v="031A"/>
    <s v="031A"/>
    <s v="031A"/>
    <s v="010"/>
    <x v="1"/>
    <x v="1"/>
    <s v="W43251NW0V00"/>
    <s v="00534633"/>
    <d v="2026-03-06T00:00:00"/>
    <n v="24"/>
    <n v="41.64"/>
    <n v="1"/>
    <n v="999.36"/>
    <n v="0.03"/>
    <n v="29.980799999999999"/>
    <s v="50021-010"/>
  </r>
  <r>
    <s v=""/>
    <s v="031A"/>
    <s v="031A"/>
    <s v="031A"/>
    <s v="061"/>
    <x v="1"/>
    <x v="1"/>
    <s v="F10599WN102N"/>
    <s v="00535520"/>
    <d v="2026-03-26T00:00:00"/>
    <n v="1"/>
    <n v="286.64999999999998"/>
    <n v="1"/>
    <n v="286.64999999999998"/>
    <n v="0.03"/>
    <n v="8.599499999999999"/>
    <s v="53031-061"/>
  </r>
  <r>
    <s v=""/>
    <s v="031A"/>
    <s v="031A"/>
    <s v="031A"/>
    <s v="061"/>
    <x v="1"/>
    <x v="1"/>
    <s v="F10599KN102N"/>
    <s v="00534917"/>
    <d v="2026-03-13T00:00:00"/>
    <n v="5"/>
    <n v="286.64999999999998"/>
    <n v="1"/>
    <n v="1433.25"/>
    <n v="0.03"/>
    <n v="42.997499999999995"/>
    <s v="53031-061"/>
  </r>
  <r>
    <s v=""/>
    <s v="031A"/>
    <s v="031A"/>
    <s v="031A"/>
    <s v="061"/>
    <x v="1"/>
    <x v="1"/>
    <s v="F10599WN102N"/>
    <s v="00534636"/>
    <d v="2026-03-06T00:00:00"/>
    <n v="10"/>
    <n v="286.64999999999998"/>
    <n v="1"/>
    <n v="2866.5"/>
    <n v="0.03"/>
    <n v="85.99499999999999"/>
    <s v="53031-061"/>
  </r>
  <r>
    <s v=""/>
    <s v="031A"/>
    <s v="031A"/>
    <s v="031A"/>
    <s v="061"/>
    <x v="1"/>
    <x v="1"/>
    <s v="F20399WN302N"/>
    <s v="00534633"/>
    <d v="2026-03-06T00:00:00"/>
    <n v="10"/>
    <n v="133.31"/>
    <n v="1"/>
    <n v="1333.1"/>
    <n v="0.03"/>
    <n v="39.992999999999995"/>
    <s v="53031-061"/>
  </r>
  <r>
    <s v=""/>
    <s v="031A"/>
    <s v="031A"/>
    <s v="031A"/>
    <s v="061"/>
    <x v="1"/>
    <x v="1"/>
    <s v="F20399WN302N"/>
    <s v="00535211"/>
    <d v="2026-03-20T00:00:00"/>
    <n v="10"/>
    <n v="133.31"/>
    <n v="1"/>
    <n v="1333.1"/>
    <n v="0.03"/>
    <n v="39.992999999999995"/>
    <s v="53031-061"/>
  </r>
  <r>
    <s v=""/>
    <s v="031A"/>
    <s v="031A"/>
    <s v="031A"/>
    <s v="061"/>
    <x v="1"/>
    <x v="1"/>
    <s v="F20399WN302N"/>
    <s v="00535442"/>
    <d v="2026-03-26T00:00:00"/>
    <n v="10"/>
    <n v="133.31"/>
    <n v="1"/>
    <n v="1333.1"/>
    <n v="0.03"/>
    <n v="39.992999999999995"/>
    <s v="53031-061"/>
  </r>
  <r>
    <s v=""/>
    <s v="031A"/>
    <s v="031A"/>
    <s v="031A"/>
    <s v="061"/>
    <x v="1"/>
    <x v="1"/>
    <s v="F10599WN102N"/>
    <s v="00535442"/>
    <d v="2026-03-26T00:00:00"/>
    <n v="10"/>
    <n v="286.64999999999998"/>
    <n v="1"/>
    <n v="2866.5"/>
    <n v="0.03"/>
    <n v="85.99499999999999"/>
    <s v="53031-061"/>
  </r>
  <r>
    <s v=""/>
    <s v="031A"/>
    <s v="031A"/>
    <s v="031A"/>
    <s v="010"/>
    <x v="1"/>
    <x v="1"/>
    <s v="W13381NW0V00"/>
    <s v="00534636"/>
    <d v="2026-03-06T00:00:00"/>
    <n v="8"/>
    <n v="30.28"/>
    <n v="1"/>
    <n v="242.24"/>
    <n v="0.03"/>
    <n v="7.2671999999999999"/>
    <s v="50022-010"/>
  </r>
  <r>
    <s v=""/>
    <s v="031A"/>
    <s v="031A"/>
    <s v="031A"/>
    <s v="010"/>
    <x v="1"/>
    <x v="1"/>
    <s v="W41325NW0V00"/>
    <s v="00535211"/>
    <d v="2026-03-20T00:00:00"/>
    <n v="4"/>
    <n v="41.64"/>
    <n v="1"/>
    <n v="166.56"/>
    <n v="0.03"/>
    <n v="4.9967999999999995"/>
    <s v="50021-010"/>
  </r>
  <r>
    <s v=""/>
    <s v="031A"/>
    <s v="031A"/>
    <s v="031A"/>
    <s v="010"/>
    <x v="1"/>
    <x v="1"/>
    <s v="W43251NW0V00"/>
    <s v="00535211"/>
    <d v="2026-03-20T00:00:00"/>
    <n v="30"/>
    <n v="41.64"/>
    <n v="1"/>
    <n v="1249.2"/>
    <n v="0.03"/>
    <n v="37.475999999999999"/>
    <s v="50021-010"/>
  </r>
  <r>
    <s v=""/>
    <s v="031A"/>
    <s v="031A"/>
    <s v="031A"/>
    <s v="010"/>
    <x v="1"/>
    <x v="1"/>
    <s v="W21255NW0V00"/>
    <s v="00535442"/>
    <d v="2026-03-26T00:00:00"/>
    <n v="5"/>
    <n v="41.64"/>
    <n v="1"/>
    <n v="208.2"/>
    <n v="0.03"/>
    <n v="6.2459999999999996"/>
    <s v="50021-010"/>
  </r>
  <r>
    <s v=""/>
    <s v="031A"/>
    <s v="031A"/>
    <s v="031A"/>
    <s v="061"/>
    <x v="1"/>
    <x v="1"/>
    <s v="EC-000-76"/>
    <s v="00535430"/>
    <d v="2026-03-26T00:00:00"/>
    <n v="882"/>
    <n v="5.6821000000000002"/>
    <n v="1"/>
    <n v="5011.6099999999997"/>
    <n v="0.03"/>
    <n v="150.34829999999999"/>
    <s v="53071-061"/>
  </r>
  <r>
    <s v=""/>
    <s v="031A"/>
    <s v="031A"/>
    <s v="031A"/>
    <s v="010"/>
    <x v="2"/>
    <x v="2"/>
    <s v="W13306MG0000"/>
    <s v="00534583"/>
    <d v="2026-03-05T00:00:00"/>
    <n v="5"/>
    <n v="188.5"/>
    <n v="1"/>
    <n v="942.5"/>
    <n v="0.03"/>
    <n v="28.274999999999999"/>
    <s v="50022-010"/>
  </r>
  <r>
    <s v=""/>
    <s v="031A"/>
    <s v="031A"/>
    <s v="031A"/>
    <s v="061"/>
    <x v="2"/>
    <x v="2"/>
    <s v="E20418KN4020"/>
    <s v="00535227"/>
    <d v="2026-03-23T00:00:00"/>
    <n v="100"/>
    <n v="69.53"/>
    <n v="1"/>
    <n v="6953"/>
    <n v="0.03"/>
    <n v="208.59"/>
    <s v="53071-061"/>
  </r>
  <r>
    <s v=""/>
    <s v="031A"/>
    <s v="031A"/>
    <s v="031A"/>
    <s v="010"/>
    <x v="2"/>
    <x v="2"/>
    <s v="W21181NG000G"/>
    <s v="00535249"/>
    <d v="2026-03-23T00:00:00"/>
    <n v="12"/>
    <n v="43.53"/>
    <n v="1"/>
    <n v="522.36"/>
    <n v="0.03"/>
    <n v="15.6708"/>
    <s v="50021-010"/>
  </r>
  <r>
    <s v=""/>
    <s v="031A"/>
    <s v="031A"/>
    <s v="031A"/>
    <s v="010"/>
    <x v="2"/>
    <x v="2"/>
    <s v="W232219G000G"/>
    <s v="00534986"/>
    <d v="2026-03-16T00:00:00"/>
    <n v="18"/>
    <n v="41.98"/>
    <n v="1"/>
    <n v="755.64"/>
    <n v="0.03"/>
    <n v="22.6692"/>
    <s v="50021-010"/>
  </r>
  <r>
    <s v=""/>
    <s v="031A"/>
    <s v="031A"/>
    <s v="031A"/>
    <s v="010"/>
    <x v="2"/>
    <x v="2"/>
    <s v="W232019G000G"/>
    <s v="00534407"/>
    <d v="2026-03-02T00:00:00"/>
    <n v="12"/>
    <n v="41.98"/>
    <n v="1"/>
    <n v="503.76"/>
    <n v="0.03"/>
    <n v="15.1128"/>
    <s v="50021-010"/>
  </r>
  <r>
    <s v=""/>
    <s v="031A"/>
    <s v="031A"/>
    <s v="031A"/>
    <s v="010"/>
    <x v="3"/>
    <x v="3"/>
    <s v="W11185NW0000"/>
    <s v="00534982"/>
    <d v="2026-03-16T00:00:00"/>
    <n v="12"/>
    <n v="32.18"/>
    <n v="1"/>
    <n v="386.16"/>
    <n v="0.03"/>
    <n v="11.5848"/>
    <s v="50022-010"/>
  </r>
  <r>
    <s v=""/>
    <s v="031A"/>
    <s v="031A"/>
    <s v="031A"/>
    <s v="010"/>
    <x v="3"/>
    <x v="3"/>
    <s v="W212959W0000"/>
    <s v="00534982"/>
    <d v="2026-03-16T00:00:00"/>
    <n v="120"/>
    <n v="43.39"/>
    <n v="1"/>
    <n v="5206.8"/>
    <n v="0.03"/>
    <n v="156.20400000000001"/>
    <s v="50021-010"/>
  </r>
  <r>
    <s v=""/>
    <s v="031A"/>
    <s v="031A"/>
    <s v="031A"/>
    <s v="010"/>
    <x v="4"/>
    <x v="4"/>
    <s v="W23271NW0000"/>
    <s v="00534686"/>
    <d v="2026-03-09T00:00:00"/>
    <n v="96"/>
    <n v="42.08"/>
    <n v="1"/>
    <n v="4039.68"/>
    <n v="0.03"/>
    <n v="121.1904"/>
    <s v="50021-010"/>
  </r>
  <r>
    <s v=""/>
    <s v="031A"/>
    <s v="031A"/>
    <s v="031A"/>
    <s v="061"/>
    <x v="5"/>
    <x v="5"/>
    <s v="E14518WN3020"/>
    <s v="00535491"/>
    <d v="2026-03-27T00:00:00"/>
    <n v="8"/>
    <n v="205.88"/>
    <n v="1"/>
    <n v="1647.04"/>
    <n v="0.03"/>
    <n v="49.411199999999994"/>
    <s v="53071-061"/>
  </r>
  <r>
    <s v=""/>
    <s v="031A"/>
    <s v="031A"/>
    <s v="031A"/>
    <s v="061"/>
    <x v="5"/>
    <x v="5"/>
    <s v="E10418WN5020"/>
    <s v="00535491"/>
    <d v="2026-03-27T00:00:00"/>
    <n v="6"/>
    <n v="154.5"/>
    <n v="1"/>
    <n v="927"/>
    <n v="0.03"/>
    <n v="27.81"/>
    <s v="53071-061"/>
  </r>
  <r>
    <s v=""/>
    <s v="031A"/>
    <s v="031A"/>
    <s v="031A"/>
    <s v="010"/>
    <x v="6"/>
    <x v="6"/>
    <s v="W91205NG000G"/>
    <s v="00535246"/>
    <d v="2026-03-23T00:00:00"/>
    <n v="10"/>
    <n v="59.84"/>
    <n v="1"/>
    <n v="598.4"/>
    <n v="0.03"/>
    <n v="17.951999999999998"/>
    <s v="50023-010"/>
  </r>
  <r>
    <s v=""/>
    <s v="031A"/>
    <s v="031A"/>
    <s v="031A"/>
    <s v="020"/>
    <x v="6"/>
    <x v="6"/>
    <s v="AK084BL"/>
    <s v="00534805"/>
    <d v="2026-03-11T00:00:00"/>
    <n v="50"/>
    <n v="29.410699999999999"/>
    <n v="1"/>
    <n v="1470.54"/>
    <n v="0.03"/>
    <n v="44.116199999999999"/>
    <s v="51051-020"/>
  </r>
  <r>
    <s v=""/>
    <s v="031A"/>
    <s v="031A"/>
    <s v="031A"/>
    <s v="074"/>
    <x v="6"/>
    <x v="6"/>
    <s v="W21145NG000G"/>
    <s v="00535229"/>
    <d v="2026-03-23T00:00:00"/>
    <n v="5"/>
    <n v="38.520000000000003"/>
    <n v="1"/>
    <n v="192.61"/>
    <n v="0.03"/>
    <n v="5.7782999999999998"/>
    <s v="50021-074"/>
  </r>
  <r>
    <s v=""/>
    <s v="031A"/>
    <s v="031A"/>
    <s v="031A"/>
    <s v="010"/>
    <x v="6"/>
    <x v="6"/>
    <s v="W21315NG000G"/>
    <s v="00535256"/>
    <d v="2026-03-23T00:00:00"/>
    <n v="12"/>
    <n v="40.549999999999997"/>
    <n v="1"/>
    <n v="486.6"/>
    <n v="0.03"/>
    <n v="14.598000000000001"/>
    <s v="50021-010"/>
  </r>
  <r>
    <s v=""/>
    <s v="031A"/>
    <s v="031A"/>
    <s v="031A"/>
    <s v="010"/>
    <x v="6"/>
    <x v="6"/>
    <s v="W21225NG000G"/>
    <s v="00535256"/>
    <d v="2026-03-23T00:00:00"/>
    <n v="50"/>
    <n v="40.549999999999997"/>
    <n v="1"/>
    <n v="2027.5"/>
    <n v="0.03"/>
    <n v="60.824999999999996"/>
    <s v="50021-010"/>
  </r>
  <r>
    <s v=""/>
    <s v="031A"/>
    <s v="031A"/>
    <s v="031A"/>
    <s v="010"/>
    <x v="6"/>
    <x v="6"/>
    <s v="W21145NG000G"/>
    <s v="00535256"/>
    <d v="2026-03-23T00:00:00"/>
    <n v="15"/>
    <n v="40.549999999999997"/>
    <n v="1"/>
    <n v="608.25"/>
    <n v="0.03"/>
    <n v="18.247499999999999"/>
    <s v="50021-010"/>
  </r>
  <r>
    <s v=""/>
    <s v="031A"/>
    <s v="031A"/>
    <s v="031A"/>
    <s v="061"/>
    <x v="6"/>
    <x v="6"/>
    <s v="E20218KN4020"/>
    <s v="00534517"/>
    <d v="2026-03-04T00:00:00"/>
    <n v="20"/>
    <n v="152.76"/>
    <n v="1"/>
    <n v="3055.2"/>
    <n v="0.03"/>
    <n v="91.655999999999992"/>
    <s v="53071-061"/>
  </r>
  <r>
    <s v=""/>
    <s v="031A"/>
    <s v="031A"/>
    <s v="031A"/>
    <s v="020"/>
    <x v="7"/>
    <x v="7"/>
    <s v="D3202AMW (KC) .875"/>
    <s v="00535499"/>
    <d v="2026-03-27T00:00:00"/>
    <n v="20000"/>
    <n v="0.1487"/>
    <n v="1"/>
    <n v="2974"/>
    <n v="0.03"/>
    <n v="89.22"/>
    <s v="51051-020"/>
  </r>
  <r>
    <s v=""/>
    <s v="031A"/>
    <s v="031A"/>
    <s v="031A"/>
    <s v="010"/>
    <x v="7"/>
    <x v="7"/>
    <s v="W23303NW0000"/>
    <s v="00535542"/>
    <d v="2026-03-30T00:00:00"/>
    <n v="160"/>
    <n v="47.55"/>
    <n v="1"/>
    <n v="7608"/>
    <n v="0.03"/>
    <n v="228.23999999999998"/>
    <s v="50021-010"/>
  </r>
  <r>
    <s v=""/>
    <s v="031A"/>
    <s v="031A"/>
    <s v="031A"/>
    <s v="010"/>
    <x v="7"/>
    <x v="7"/>
    <s v="W23301NW0000"/>
    <s v="00535542"/>
    <d v="2026-03-30T00:00:00"/>
    <n v="80"/>
    <n v="47.55"/>
    <n v="1"/>
    <n v="3804"/>
    <n v="0.03"/>
    <n v="114.11999999999999"/>
    <s v="50021-010"/>
  </r>
  <r>
    <s v=""/>
    <s v="031A"/>
    <s v="031A"/>
    <s v="031A"/>
    <s v="020"/>
    <x v="8"/>
    <x v="8"/>
    <s v="250EC140-120EMP 1.72"/>
    <s v="00535436"/>
    <d v="2026-03-26T00:00:00"/>
    <n v="5000"/>
    <n v="0.14399999999999999"/>
    <n v="1"/>
    <n v="720"/>
    <n v="0.03"/>
    <n v="21.599999999999998"/>
    <s v="51051-020"/>
  </r>
  <r>
    <s v=""/>
    <s v="031A"/>
    <s v="031A"/>
    <s v="031A"/>
    <s v="010"/>
    <x v="9"/>
    <x v="9"/>
    <s v="W21465GG000G"/>
    <s v="00535159"/>
    <d v="2026-03-19T00:00:00"/>
    <n v="12"/>
    <n v="150.16999999999999"/>
    <n v="1"/>
    <n v="1802.04"/>
    <n v="0.03"/>
    <n v="54.061199999999999"/>
    <s v="50021-010"/>
  </r>
  <r>
    <s v=""/>
    <s v="031A"/>
    <s v="031A"/>
    <s v="031A"/>
    <s v="010"/>
    <x v="9"/>
    <x v="9"/>
    <s v="W13451NG000G"/>
    <s v="00534873"/>
    <d v="2026-03-12T00:00:00"/>
    <n v="30"/>
    <n v="35.82"/>
    <n v="1"/>
    <n v="1074.5999999999999"/>
    <n v="0.03"/>
    <n v="32.238"/>
    <s v="50022-010"/>
  </r>
  <r>
    <s v=""/>
    <s v="031A"/>
    <s v="031A"/>
    <s v="031A"/>
    <s v="010"/>
    <x v="9"/>
    <x v="9"/>
    <s v="W13651NG000G"/>
    <s v="00534873"/>
    <d v="2026-03-12T00:00:00"/>
    <n v="18"/>
    <n v="53.05"/>
    <n v="1"/>
    <n v="954.9"/>
    <n v="0.03"/>
    <n v="28.646999999999998"/>
    <s v="50022-010"/>
  </r>
  <r>
    <s v=""/>
    <s v="031A"/>
    <s v="031A"/>
    <s v="031A"/>
    <s v="010"/>
    <x v="9"/>
    <x v="9"/>
    <s v="W13751NG000G"/>
    <s v="00534873"/>
    <d v="2026-03-12T00:00:00"/>
    <n v="7"/>
    <n v="53.05"/>
    <n v="1"/>
    <n v="371.35"/>
    <n v="0.03"/>
    <n v="11.140499999999999"/>
    <s v="50022-010"/>
  </r>
  <r>
    <s v=""/>
    <s v="031A"/>
    <s v="031A"/>
    <s v="031A"/>
    <s v="010"/>
    <x v="9"/>
    <x v="9"/>
    <s v="W13501NG000G"/>
    <s v="00534873"/>
    <d v="2026-03-12T00:00:00"/>
    <n v="16.5"/>
    <n v="36.630000000000003"/>
    <n v="1"/>
    <n v="604.4"/>
    <n v="0.03"/>
    <n v="18.131999999999998"/>
    <s v="50022-010"/>
  </r>
  <r>
    <s v=""/>
    <s v="031A"/>
    <s v="031A"/>
    <s v="031A"/>
    <s v="010"/>
    <x v="9"/>
    <x v="9"/>
    <s v="W13501NG000G"/>
    <s v="00534980"/>
    <d v="2026-03-16T00:00:00"/>
    <n v="1.5"/>
    <n v="34.799999999999997"/>
    <n v="1"/>
    <n v="52.2"/>
    <n v="0.03"/>
    <n v="1.5660000000000001"/>
    <s v="50022-010"/>
  </r>
  <r>
    <s v=""/>
    <s v="031A"/>
    <s v="031A"/>
    <s v="031A"/>
    <s v="020"/>
    <x v="9"/>
    <x v="9"/>
    <s v="TF50150AMG (PC) .500"/>
    <s v="00534866"/>
    <d v="2026-03-12T00:00:00"/>
    <n v="5000"/>
    <n v="0.54769999999999996"/>
    <n v="1"/>
    <n v="2738.5"/>
    <n v="0.03"/>
    <n v="82.155000000000001"/>
    <s v="51051-020"/>
  </r>
  <r>
    <s v=""/>
    <s v="031A"/>
    <s v="031A"/>
    <s v="031A"/>
    <s v="075"/>
    <x v="9"/>
    <x v="9"/>
    <s v="W13751NG000G"/>
    <s v="00534838"/>
    <d v="2026-03-12T00:00:00"/>
    <n v="3"/>
    <n v="53.05"/>
    <n v="1"/>
    <n v="159.15"/>
    <n v="0.03"/>
    <n v="4.7744999999999997"/>
    <s v="50022-075"/>
  </r>
  <r>
    <s v=""/>
    <s v="031A"/>
    <s v="031A"/>
    <s v="031A"/>
    <s v="075"/>
    <x v="10"/>
    <x v="10"/>
    <s v="W23231NW0W00"/>
    <s v="00535380"/>
    <d v="2026-03-25T00:00:00"/>
    <n v="12"/>
    <n v="40.67"/>
    <n v="1"/>
    <n v="488.04"/>
    <n v="0.03"/>
    <n v="14.6412"/>
    <s v="50021-075"/>
  </r>
  <r>
    <s v=""/>
    <s v="031A"/>
    <s v="031A"/>
    <s v="897A"/>
    <s v="061"/>
    <x v="11"/>
    <x v="11"/>
    <s v="EC-000-50"/>
    <s v="00534612"/>
    <d v="2026-03-06T00:00:00"/>
    <n v="10"/>
    <n v="227.15"/>
    <n v="0.67"/>
    <n v="1521.905"/>
    <n v="0.03"/>
    <n v="45.657149999999994"/>
    <s v="53071-061"/>
  </r>
  <r>
    <s v=""/>
    <s v="031A"/>
    <s v="031A"/>
    <s v="897A"/>
    <s v="074"/>
    <x v="11"/>
    <x v="11"/>
    <s v="W13251NG000G"/>
    <s v="00534612"/>
    <d v="2026-03-06T00:00:00"/>
    <n v="144"/>
    <n v="23.52"/>
    <n v="0.67"/>
    <n v="2269.2096000000001"/>
    <n v="0.03"/>
    <n v="68.076288000000005"/>
    <s v="50022-074"/>
  </r>
  <r>
    <s v=""/>
    <s v="031A"/>
    <s v="031A"/>
    <s v="031A"/>
    <s v="075"/>
    <x v="12"/>
    <x v="12"/>
    <s v="W21255NG000G"/>
    <s v="00535371"/>
    <d v="2026-03-25T00:00:00"/>
    <n v="5"/>
    <n v="53.53"/>
    <n v="1"/>
    <n v="267.64999999999998"/>
    <n v="0.03"/>
    <n v="8.0294999999999987"/>
    <s v="50021-075"/>
  </r>
  <r>
    <s v=""/>
    <s v="031A"/>
    <s v="031A"/>
    <s v="031A"/>
    <s v="010"/>
    <x v="12"/>
    <x v="12"/>
    <s v="W21255NG000G"/>
    <s v="00535549"/>
    <d v="2026-03-30T00:00:00"/>
    <n v="5"/>
    <n v="53.53"/>
    <n v="1"/>
    <n v="267.64999999999998"/>
    <n v="0.03"/>
    <n v="8.0294999999999987"/>
    <s v="50021-010"/>
  </r>
  <r>
    <s v=""/>
    <s v="031A"/>
    <s v="031A"/>
    <s v="031A"/>
    <s v="010"/>
    <x v="12"/>
    <x v="12"/>
    <s v="W41275NW0000"/>
    <s v="00534687"/>
    <d v="2026-03-09T00:00:00"/>
    <n v="10"/>
    <n v="53.53"/>
    <n v="1"/>
    <n v="535.29999999999995"/>
    <n v="0.03"/>
    <n v="16.058999999999997"/>
    <s v="50021-010"/>
  </r>
  <r>
    <s v=""/>
    <s v="031A"/>
    <s v="031A"/>
    <s v="031A"/>
    <s v="020"/>
    <x v="13"/>
    <x v="13"/>
    <s v="TF50150AMG (PC) .500"/>
    <s v="00535530"/>
    <d v="2026-03-30T00:00:00"/>
    <n v="10000"/>
    <n v="0.26679999999999998"/>
    <n v="1"/>
    <n v="2668"/>
    <n v="0.03"/>
    <n v="80.039999999999992"/>
    <s v="51051-020"/>
  </r>
  <r>
    <s v=""/>
    <s v="031A"/>
    <s v="031A"/>
    <s v="031A"/>
    <s v="010"/>
    <x v="14"/>
    <x v="14"/>
    <s v="W13501NK000B"/>
    <s v="00535514"/>
    <d v="2026-03-27T00:00:00"/>
    <n v="4.5"/>
    <n v="121.79"/>
    <n v="1"/>
    <n v="548.05999999999995"/>
    <n v="0.03"/>
    <n v="16.441799999999997"/>
    <s v="50022-010"/>
  </r>
  <r>
    <s v=""/>
    <s v="031A"/>
    <s v="031A"/>
    <s v="031A"/>
    <s v="020"/>
    <x v="14"/>
    <x v="14"/>
    <s v="189N750-120KL-01"/>
    <s v="00535514"/>
    <d v="2026-03-27T00:00:00"/>
    <n v="3000"/>
    <n v="0.42730000000000001"/>
    <n v="1"/>
    <n v="1281.9000000000001"/>
    <n v="0.03"/>
    <n v="38.457000000000001"/>
    <s v="51058-020"/>
  </r>
  <r>
    <s v=""/>
    <s v="031A"/>
    <s v="031A"/>
    <s v="031A"/>
    <s v="020"/>
    <x v="14"/>
    <x v="14"/>
    <s v="189N1500-136KL"/>
    <s v="00535062"/>
    <d v="2026-03-17T00:00:00"/>
    <n v="2000"/>
    <n v="0.48859999999999998"/>
    <n v="1"/>
    <n v="977.2"/>
    <n v="0.03"/>
    <n v="29.315999999999999"/>
    <s v="51058-020"/>
  </r>
  <r>
    <s v=""/>
    <s v="031A"/>
    <s v="031A"/>
    <s v="031A"/>
    <s v="010"/>
    <x v="15"/>
    <x v="15"/>
    <s v="W23241NWDM00"/>
    <s v="00534698"/>
    <d v="2026-03-09T00:00:00"/>
    <n v="480"/>
    <n v="27.29"/>
    <n v="1"/>
    <n v="13099.2"/>
    <n v="0.01"/>
    <n v="130.99200000000002"/>
    <s v="50021-010"/>
  </r>
  <r>
    <s v=""/>
    <s v="031A"/>
    <s v="031A"/>
    <s v="031A"/>
    <s v="010"/>
    <x v="15"/>
    <x v="15"/>
    <s v="W23151NW0M00"/>
    <s v="00534698"/>
    <d v="2026-03-09T00:00:00"/>
    <n v="90"/>
    <n v="26.26"/>
    <n v="1"/>
    <n v="2363.4"/>
    <n v="0.01"/>
    <n v="23.634"/>
    <s v="50021-010"/>
  </r>
  <r>
    <s v=""/>
    <s v="031A"/>
    <s v="031A"/>
    <s v="031A"/>
    <s v="010"/>
    <x v="15"/>
    <x v="15"/>
    <s v="W23241NLDM00"/>
    <s v="00535459"/>
    <d v="2026-03-26T00:00:00"/>
    <n v="120"/>
    <n v="27.29"/>
    <n v="1"/>
    <n v="3274.8"/>
    <n v="0.01"/>
    <n v="32.748000000000005"/>
    <s v="50021-010"/>
  </r>
  <r>
    <s v=""/>
    <s v="031A"/>
    <s v="031A"/>
    <s v="031A"/>
    <s v="010"/>
    <x v="15"/>
    <x v="15"/>
    <s v="W23241NWDM00"/>
    <s v="00535459"/>
    <d v="2026-03-26T00:00:00"/>
    <n v="600"/>
    <n v="27.29"/>
    <n v="1"/>
    <n v="16374"/>
    <n v="0.01"/>
    <n v="163.74"/>
    <s v="50021-010"/>
  </r>
  <r>
    <s v=""/>
    <s v="031A"/>
    <s v="031A"/>
    <s v="031A"/>
    <s v="010"/>
    <x v="15"/>
    <x v="15"/>
    <s v="W23151NL0000"/>
    <s v="00534934"/>
    <d v="2026-03-13T00:00:00"/>
    <n v="90"/>
    <n v="26.47"/>
    <n v="1"/>
    <n v="2382.3000000000002"/>
    <n v="0.01"/>
    <n v="23.823000000000004"/>
    <s v="50021-010"/>
  </r>
  <r>
    <s v=""/>
    <s v="031A"/>
    <s v="031A"/>
    <s v="031A"/>
    <s v="010"/>
    <x v="15"/>
    <x v="15"/>
    <s v="W23241NWDM00"/>
    <s v="00534934"/>
    <d v="2026-03-13T00:00:00"/>
    <n v="360"/>
    <n v="27.29"/>
    <n v="1"/>
    <n v="9824.4"/>
    <n v="0.01"/>
    <n v="98.244"/>
    <s v="50021-010"/>
  </r>
  <r>
    <s v=""/>
    <s v="031A"/>
    <s v="031A"/>
    <s v="031A"/>
    <s v="010"/>
    <x v="15"/>
    <x v="15"/>
    <s v="W23151NW0M00"/>
    <s v="00534934"/>
    <d v="2026-03-13T00:00:00"/>
    <n v="90"/>
    <n v="26.26"/>
    <n v="1"/>
    <n v="2363.4"/>
    <n v="0.01"/>
    <n v="23.634"/>
    <s v="50021-010"/>
  </r>
  <r>
    <s v=""/>
    <s v="031A"/>
    <s v="031A"/>
    <s v="031A"/>
    <s v="010"/>
    <x v="15"/>
    <x v="15"/>
    <s v="W23241NLDM00"/>
    <s v="00535554"/>
    <d v="2026-03-30T00:00:00"/>
    <n v="120"/>
    <n v="27.29"/>
    <n v="1"/>
    <n v="3274.8"/>
    <n v="0.01"/>
    <n v="32.748000000000005"/>
    <s v="50021-010"/>
  </r>
  <r>
    <s v=""/>
    <s v="031A"/>
    <s v="031A"/>
    <s v="031A"/>
    <s v="010"/>
    <x v="15"/>
    <x v="15"/>
    <s v="W23151NL0000"/>
    <s v="00535554"/>
    <d v="2026-03-30T00:00:00"/>
    <n v="90"/>
    <n v="26.47"/>
    <n v="1"/>
    <n v="2382.3000000000002"/>
    <n v="0.01"/>
    <n v="23.823000000000004"/>
    <s v="50021-010"/>
  </r>
  <r>
    <s v=""/>
    <s v="031A"/>
    <s v="031A"/>
    <s v="031A"/>
    <s v="010"/>
    <x v="15"/>
    <x v="15"/>
    <s v="W23241NWDM00"/>
    <s v="00535554"/>
    <d v="2026-03-30T00:00:00"/>
    <n v="600"/>
    <n v="27.29"/>
    <n v="1"/>
    <n v="16374"/>
    <n v="0.01"/>
    <n v="163.74"/>
    <s v="50021-010"/>
  </r>
  <r>
    <s v=""/>
    <s v="031A"/>
    <s v="031A"/>
    <s v="031A"/>
    <s v="010"/>
    <x v="15"/>
    <x v="15"/>
    <s v="W23151NL0000"/>
    <s v="RTN010825"/>
    <d v="2026-03-31T00:00:00"/>
    <n v="4.5"/>
    <n v="26.47"/>
    <n v="1"/>
    <n v="-119.12"/>
    <n v="0.01"/>
    <n v="-1.1912"/>
    <s v="58010-010"/>
  </r>
  <r>
    <s v=""/>
    <s v="031A"/>
    <s v="031A"/>
    <s v="031A"/>
    <s v="010"/>
    <x v="15"/>
    <x v="15"/>
    <s v="W23241NWDM00"/>
    <s v="RTN010823"/>
    <d v="2026-03-31T00:00:00"/>
    <n v="3"/>
    <n v="27.29"/>
    <n v="1"/>
    <n v="-81.87"/>
    <n v="0.01"/>
    <n v="-0.81870000000000009"/>
    <s v="58010-010"/>
  </r>
  <r>
    <s v=""/>
    <s v="031A"/>
    <s v="031A"/>
    <s v="031A"/>
    <s v="010"/>
    <x v="15"/>
    <x v="15"/>
    <s v="W23151NW0M00"/>
    <s v="RTN010828"/>
    <d v="2026-03-31T00:00:00"/>
    <n v="4.5"/>
    <n v="26.26"/>
    <n v="1"/>
    <n v="-118.17"/>
    <n v="0.01"/>
    <n v="-1.1817"/>
    <s v="58010-010"/>
  </r>
  <r>
    <s v=""/>
    <s v="031A"/>
    <s v="031A"/>
    <s v="031A"/>
    <s v="010"/>
    <x v="15"/>
    <x v="15"/>
    <s v="W23241NK000B"/>
    <s v="RTN010822"/>
    <d v="2026-03-31T00:00:00"/>
    <n v="3"/>
    <n v="27.29"/>
    <n v="1"/>
    <n v="-81.87"/>
    <n v="0.01"/>
    <n v="-0.81870000000000009"/>
    <s v="58010-010"/>
  </r>
  <r>
    <s v=""/>
    <s v="031A"/>
    <s v="031A"/>
    <s v="031A"/>
    <s v="010"/>
    <x v="15"/>
    <x v="15"/>
    <s v="W23241NWDM00"/>
    <s v="RTN010821"/>
    <d v="2026-03-31T00:00:00"/>
    <n v="6"/>
    <n v="27.29"/>
    <n v="1"/>
    <n v="-163.74"/>
    <n v="0.01"/>
    <n v="-1.6374000000000002"/>
    <s v="58010-010"/>
  </r>
  <r>
    <s v=""/>
    <s v="031A"/>
    <s v="031A"/>
    <s v="031A"/>
    <s v="010"/>
    <x v="15"/>
    <x v="15"/>
    <s v="W23241NWDM00"/>
    <s v="RTN010827"/>
    <d v="2026-03-31T00:00:00"/>
    <n v="9"/>
    <n v="27.29"/>
    <n v="1"/>
    <n v="-245.61"/>
    <n v="0.01"/>
    <n v="-2.4561000000000002"/>
    <s v="58010-010"/>
  </r>
  <r>
    <s v=""/>
    <s v="031A"/>
    <s v="031A"/>
    <s v="031A"/>
    <s v="010"/>
    <x v="15"/>
    <x v="15"/>
    <s v="W23241NWDM00"/>
    <s v="RTN010820"/>
    <d v="2026-03-31T00:00:00"/>
    <n v="3"/>
    <n v="27.29"/>
    <n v="1"/>
    <n v="-81.87"/>
    <n v="0.01"/>
    <n v="-0.81870000000000009"/>
    <s v="58010-010"/>
  </r>
  <r>
    <s v=""/>
    <s v="031A"/>
    <s v="031A"/>
    <s v="031A"/>
    <s v="010"/>
    <x v="15"/>
    <x v="15"/>
    <s v="W23241NK000B"/>
    <s v="RTN010826"/>
    <d v="2026-03-31T00:00:00"/>
    <n v="3"/>
    <n v="27.29"/>
    <n v="1"/>
    <n v="-81.87"/>
    <n v="0.01"/>
    <n v="-0.81870000000000009"/>
    <s v="58010-010"/>
  </r>
  <r>
    <s v=""/>
    <s v="031A"/>
    <s v="031A"/>
    <s v="031A"/>
    <s v="010"/>
    <x v="15"/>
    <x v="15"/>
    <s v="W23151NW0M00"/>
    <s v="RTN010824"/>
    <d v="2026-03-31T00:00:00"/>
    <n v="4.5"/>
    <n v="26.26"/>
    <n v="1"/>
    <n v="-118.17"/>
    <n v="0.01"/>
    <n v="-1.1817"/>
    <s v="58010-010"/>
  </r>
  <r>
    <s v=""/>
    <s v="031A"/>
    <s v="031A"/>
    <s v="031A"/>
    <s v="020"/>
    <x v="16"/>
    <x v="16"/>
    <s v="SP-001-62"/>
    <s v="00534696"/>
    <d v="2026-03-09T00:00:00"/>
    <n v="96000"/>
    <n v="0.12"/>
    <n v="1"/>
    <n v="11520"/>
    <n v="0.03"/>
    <n v="345.59999999999997"/>
    <s v="51051-020"/>
  </r>
  <r>
    <s v=""/>
    <s v="031A"/>
    <s v="031A"/>
    <s v="031A"/>
    <s v="020"/>
    <x v="16"/>
    <x v="16"/>
    <s v="SP-001-62"/>
    <s v="00534409"/>
    <d v="2026-03-02T00:00:00"/>
    <n v="48000"/>
    <n v="0.12"/>
    <n v="1"/>
    <n v="5760"/>
    <n v="0.03"/>
    <n v="172.79999999999998"/>
    <s v="51051-020"/>
  </r>
  <r>
    <s v=""/>
    <s v="031A"/>
    <s v="031A"/>
    <s v="031A"/>
    <s v="010"/>
    <x v="16"/>
    <x v="16"/>
    <s v="W23235NL0000"/>
    <s v="00534700"/>
    <d v="2026-03-09T00:00:00"/>
    <n v="15"/>
    <n v="34.369999999999997"/>
    <n v="1"/>
    <n v="515.54999999999995"/>
    <n v="0.03"/>
    <n v="15.466499999999998"/>
    <s v="50021-010"/>
  </r>
  <r>
    <s v=""/>
    <s v="031A"/>
    <s v="031A"/>
    <s v="031A"/>
    <s v="010"/>
    <x v="16"/>
    <x v="16"/>
    <s v="W23235NL0000"/>
    <s v="00535261"/>
    <d v="2026-03-23T00:00:00"/>
    <n v="50"/>
    <n v="34.369999999999997"/>
    <n v="1"/>
    <n v="1718.5"/>
    <n v="0.03"/>
    <n v="51.555"/>
    <s v="50021-010"/>
  </r>
  <r>
    <s v=""/>
    <s v="031A"/>
    <s v="031A"/>
    <s v="884C"/>
    <s v="020"/>
    <x v="17"/>
    <x v="17"/>
    <s v="P2803AMK (FT)"/>
    <s v="00535197"/>
    <d v="2026-03-20T00:00:00"/>
    <n v="1250"/>
    <n v="0.80200000000000005"/>
    <n v="0.33"/>
    <n v="330.82499999999999"/>
    <n v="0.03"/>
    <n v="9.9247499999999995"/>
    <s v="51051-020"/>
  </r>
  <r>
    <s v=""/>
    <s v="031A"/>
    <s v="031A"/>
    <s v="884C"/>
    <s v="020"/>
    <x v="17"/>
    <x v="17"/>
    <s v="P2803AMK (FT)"/>
    <s v="00535196"/>
    <d v="2026-03-20T00:00:00"/>
    <n v="1250"/>
    <n v="0.80200000000000005"/>
    <n v="0.33"/>
    <n v="330.82499999999999"/>
    <n v="0.03"/>
    <n v="9.9247499999999995"/>
    <s v="51051-020"/>
  </r>
  <r>
    <s v=""/>
    <s v="031A"/>
    <s v="031A"/>
    <s v="884C"/>
    <s v="010"/>
    <x v="17"/>
    <x v="17"/>
    <s v="W13451NK000B"/>
    <s v="00534780"/>
    <d v="2026-03-10T00:00:00"/>
    <n v="6"/>
    <n v="49.39"/>
    <n v="0.33"/>
    <n v="97.792199999999994"/>
    <n v="0.03"/>
    <n v="2.9337659999999999"/>
    <s v="50022-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B67E7-C04E-4626-8A9A-064F9BA91D80}" name="PivotTable031A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S3:U22" firstHeaderRow="0" firstDataRow="1" firstDataCol="1"/>
  <pivotFields count="17">
    <pivotField showAll="0"/>
    <pivotField showAll="0"/>
    <pivotField showAll="0"/>
    <pivotField showAll="0"/>
    <pivotField showAll="0"/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 sd="0"/>
      </items>
    </pivotField>
    <pivotField axis="axisRow" showAll="0">
      <items count="19">
        <item x="3"/>
        <item x="2"/>
        <item x="5"/>
        <item x="10"/>
        <item x="17"/>
        <item x="15"/>
        <item x="16"/>
        <item x="6"/>
        <item x="7"/>
        <item x="13"/>
        <item x="9"/>
        <item x="11"/>
        <item x="4"/>
        <item x="0"/>
        <item x="14"/>
        <item x="12"/>
        <item x="8"/>
        <item x="1"/>
        <item t="default"/>
      </items>
    </pivotField>
    <pivotField showAll="0"/>
    <pivotField showAll="0"/>
    <pivotField numFmtId="164" showAll="0"/>
    <pivotField numFmtId="165" showAll="0"/>
    <pivotField numFmtId="166" showAll="0"/>
    <pivotField numFmtId="167" showAll="0"/>
    <pivotField dataField="1" numFmtId="168" showAll="0"/>
    <pivotField numFmtId="167" showAll="0"/>
    <pivotField dataField="1" numFmtId="168" showAll="0"/>
    <pivotField showAll="0"/>
  </pivotFields>
  <rowFields count="2">
    <field x="5"/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 Amt" fld="13" baseField="0" baseItem="0" numFmtId="169"/>
    <dataField name="Sum of Commission" fld="15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5FC1F-8237-4B4B-9937-7FE060A7A9BC}" name="PivotTable031A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S3:U21" firstHeaderRow="0" firstDataRow="1" firstDataCol="1"/>
  <pivotFields count="17">
    <pivotField showAll="0"/>
    <pivotField showAll="0"/>
    <pivotField showAll="0"/>
    <pivotField showAll="0"/>
    <pivotField showAll="0"/>
    <pivotField axis="axisRow"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 sd="0"/>
      </items>
    </pivotField>
    <pivotField axis="axisRow" showAll="0">
      <items count="18">
        <item x="14"/>
        <item x="12"/>
        <item x="13"/>
        <item x="3"/>
        <item x="2"/>
        <item x="11"/>
        <item x="5"/>
        <item x="6"/>
        <item x="15"/>
        <item x="16"/>
        <item x="7"/>
        <item x="10"/>
        <item x="8"/>
        <item x="4"/>
        <item x="0"/>
        <item x="9"/>
        <item x="1"/>
        <item t="default"/>
      </items>
    </pivotField>
    <pivotField showAll="0"/>
    <pivotField showAll="0"/>
    <pivotField numFmtId="164" showAll="0"/>
    <pivotField numFmtId="165" showAll="0"/>
    <pivotField numFmtId="166" showAll="0"/>
    <pivotField numFmtId="167" showAll="0"/>
    <pivotField dataField="1" numFmtId="168" showAll="0"/>
    <pivotField numFmtId="167" showAll="0"/>
    <pivotField dataField="1" numFmtId="168" showAll="0"/>
    <pivotField showAll="0"/>
  </pivotFields>
  <rowFields count="2">
    <field x="5"/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 Amt" fld="13" baseField="0" baseItem="0" numFmtId="169"/>
    <dataField name="Sum of Commission" fld="15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2BC9B-5ECC-4FE6-88EE-6E0D78C51746}" name="PivotTable031A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S3:U26" firstHeaderRow="0" firstDataRow="1" firstDataCol="1"/>
  <pivotFields count="17">
    <pivotField showAll="0"/>
    <pivotField showAll="0"/>
    <pivotField showAll="0"/>
    <pivotField showAll="0"/>
    <pivotField showAll="0"/>
    <pivotField axis="axisRow"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 sd="0"/>
      </items>
    </pivotField>
    <pivotField axis="axisRow" showAll="0">
      <items count="23">
        <item x="3"/>
        <item x="2"/>
        <item x="15"/>
        <item x="5"/>
        <item x="6"/>
        <item x="17"/>
        <item x="19"/>
        <item x="13"/>
        <item x="4"/>
        <item x="7"/>
        <item x="20"/>
        <item x="14"/>
        <item x="8"/>
        <item x="21"/>
        <item x="12"/>
        <item x="10"/>
        <item x="11"/>
        <item x="0"/>
        <item x="16"/>
        <item x="9"/>
        <item x="18"/>
        <item x="1"/>
        <item t="default"/>
      </items>
    </pivotField>
    <pivotField showAll="0"/>
    <pivotField showAll="0"/>
    <pivotField numFmtId="164" showAll="0"/>
    <pivotField numFmtId="165" showAll="0"/>
    <pivotField numFmtId="166" showAll="0"/>
    <pivotField numFmtId="167" showAll="0"/>
    <pivotField dataField="1" numFmtId="168" showAll="0"/>
    <pivotField numFmtId="167" showAll="0"/>
    <pivotField dataField="1" numFmtId="168" showAll="0"/>
    <pivotField showAll="0"/>
  </pivotFields>
  <rowFields count="2">
    <field x="5"/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 Amt" fld="13" baseField="0" baseItem="0" numFmtId="169"/>
    <dataField name="Sum of Commission" fld="15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78"/>
  <sheetViews>
    <sheetView tabSelected="1" topLeftCell="A48" zoomScaleNormal="100" workbookViewId="0">
      <selection activeCell="E65" sqref="E8:E65"/>
    </sheetView>
  </sheetViews>
  <sheetFormatPr defaultRowHeight="15" x14ac:dyDescent="0.25"/>
  <cols>
    <col min="1" max="1" width="22.7109375" customWidth="1"/>
    <col min="2" max="2" width="1.28515625" customWidth="1"/>
    <col min="3" max="16" width="15.7109375" customWidth="1"/>
  </cols>
  <sheetData>
    <row r="1" spans="1:15" x14ac:dyDescent="0.25">
      <c r="A1" s="2" t="s">
        <v>21</v>
      </c>
    </row>
    <row r="2" spans="1:15" x14ac:dyDescent="0.25">
      <c r="A2" s="2" t="s">
        <v>22</v>
      </c>
    </row>
    <row r="3" spans="1:15" x14ac:dyDescent="0.25">
      <c r="A3" s="2" t="s">
        <v>37</v>
      </c>
    </row>
    <row r="4" spans="1:15" x14ac:dyDescent="0.25">
      <c r="A4" s="3">
        <v>2026</v>
      </c>
    </row>
    <row r="5" spans="1:15" x14ac:dyDescent="0.25">
      <c r="A5" s="3"/>
    </row>
    <row r="6" spans="1:15" ht="15.75" thickBot="1" x14ac:dyDescent="0.3">
      <c r="A6" s="3"/>
      <c r="C6" s="25" t="s">
        <v>68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15.75" customHeight="1" x14ac:dyDescent="0.25">
      <c r="C7" s="4" t="s">
        <v>23</v>
      </c>
      <c r="D7" s="5" t="s">
        <v>24</v>
      </c>
      <c r="E7" s="5" t="s">
        <v>25</v>
      </c>
      <c r="F7" s="5" t="s">
        <v>26</v>
      </c>
      <c r="G7" s="6" t="s">
        <v>27</v>
      </c>
      <c r="H7" s="6" t="s">
        <v>28</v>
      </c>
      <c r="I7" s="6" t="s">
        <v>29</v>
      </c>
      <c r="J7" s="5" t="s">
        <v>30</v>
      </c>
      <c r="K7" s="5" t="s">
        <v>31</v>
      </c>
      <c r="L7" s="5" t="s">
        <v>32</v>
      </c>
      <c r="M7" s="5" t="s">
        <v>33</v>
      </c>
      <c r="N7" s="5" t="s">
        <v>34</v>
      </c>
      <c r="O7" s="7" t="s">
        <v>35</v>
      </c>
    </row>
    <row r="8" spans="1:15" x14ac:dyDescent="0.25">
      <c r="A8" s="13" t="s">
        <v>48</v>
      </c>
      <c r="C8" s="8">
        <v>0</v>
      </c>
      <c r="D8" s="8">
        <v>0</v>
      </c>
      <c r="E8" s="8">
        <v>0</v>
      </c>
      <c r="F8" s="8"/>
      <c r="G8" s="8"/>
      <c r="H8" s="8"/>
      <c r="I8" s="8"/>
      <c r="J8" s="8"/>
      <c r="K8" s="8"/>
      <c r="L8" s="8"/>
      <c r="M8" s="8"/>
      <c r="N8" s="8"/>
      <c r="O8" s="9">
        <f>SUM(C8:N8)</f>
        <v>0</v>
      </c>
    </row>
    <row r="9" spans="1:15" x14ac:dyDescent="0.25">
      <c r="A9" s="13" t="s">
        <v>49</v>
      </c>
      <c r="C9" s="8">
        <v>0</v>
      </c>
      <c r="D9" s="8">
        <v>0</v>
      </c>
      <c r="E9" s="8">
        <v>0</v>
      </c>
      <c r="F9" s="8"/>
      <c r="G9" s="8"/>
      <c r="H9" s="8"/>
      <c r="I9" s="8"/>
      <c r="J9" s="8"/>
      <c r="K9" s="8"/>
      <c r="L9" s="8"/>
      <c r="M9" s="8"/>
      <c r="N9" s="8"/>
      <c r="O9" s="9">
        <f>SUM(C9:N9)</f>
        <v>0</v>
      </c>
    </row>
    <row r="10" spans="1:15" x14ac:dyDescent="0.25">
      <c r="A10" s="13" t="s">
        <v>0</v>
      </c>
      <c r="C10" s="8">
        <v>74.770199999999988</v>
      </c>
      <c r="D10" s="8">
        <v>338.23139999999995</v>
      </c>
      <c r="E10" s="8">
        <v>75.242999999999995</v>
      </c>
      <c r="F10" s="8"/>
      <c r="G10" s="8"/>
      <c r="H10" s="8"/>
      <c r="I10" s="8"/>
      <c r="J10" s="8"/>
      <c r="K10" s="8"/>
      <c r="L10" s="8"/>
      <c r="M10" s="8"/>
      <c r="N10" s="8"/>
      <c r="O10" s="9">
        <f>SUM(C10:N10)</f>
        <v>488.24459999999993</v>
      </c>
    </row>
    <row r="11" spans="1:15" x14ac:dyDescent="0.25">
      <c r="A11" s="13" t="s">
        <v>1</v>
      </c>
      <c r="C11" s="8">
        <v>1147.4232999999999</v>
      </c>
      <c r="D11" s="8">
        <v>1018.6022</v>
      </c>
      <c r="E11" s="8">
        <v>642.11310000000003</v>
      </c>
      <c r="F11" s="8"/>
      <c r="G11" s="8"/>
      <c r="H11" s="8"/>
      <c r="I11" s="8"/>
      <c r="J11" s="8"/>
      <c r="K11" s="8"/>
      <c r="L11" s="8"/>
      <c r="M11" s="8"/>
      <c r="N11" s="8"/>
      <c r="O11" s="9">
        <f t="shared" ref="O11:O62" si="0">SUM(C11:N11)</f>
        <v>2808.1385999999998</v>
      </c>
    </row>
    <row r="12" spans="1:15" x14ac:dyDescent="0.25">
      <c r="A12" s="13" t="s">
        <v>2</v>
      </c>
      <c r="C12" s="8">
        <v>29.294699999999999</v>
      </c>
      <c r="D12" s="8">
        <v>401.69729999999998</v>
      </c>
      <c r="E12" s="8">
        <v>290.31779999999998</v>
      </c>
      <c r="F12" s="8"/>
      <c r="G12" s="8"/>
      <c r="H12" s="8"/>
      <c r="I12" s="8"/>
      <c r="J12" s="8"/>
      <c r="K12" s="8"/>
      <c r="L12" s="8"/>
      <c r="M12" s="8"/>
      <c r="N12" s="8"/>
      <c r="O12" s="9">
        <f t="shared" si="0"/>
        <v>721.3098</v>
      </c>
    </row>
    <row r="13" spans="1:15" x14ac:dyDescent="0.25">
      <c r="A13" s="14" t="s">
        <v>38</v>
      </c>
      <c r="C13" s="8">
        <v>0</v>
      </c>
      <c r="D13" s="8">
        <v>0</v>
      </c>
      <c r="E13" s="8">
        <v>167.78880000000001</v>
      </c>
      <c r="F13" s="8"/>
      <c r="G13" s="8"/>
      <c r="H13" s="8"/>
      <c r="I13" s="8"/>
      <c r="J13" s="8"/>
      <c r="K13" s="8"/>
      <c r="L13" s="8"/>
      <c r="M13" s="8"/>
      <c r="N13" s="8"/>
      <c r="O13" s="9">
        <f t="shared" si="0"/>
        <v>167.78880000000001</v>
      </c>
    </row>
    <row r="14" spans="1:15" x14ac:dyDescent="0.25">
      <c r="A14" s="13" t="s">
        <v>3</v>
      </c>
      <c r="C14" s="8">
        <v>0</v>
      </c>
      <c r="D14" s="8">
        <v>0</v>
      </c>
      <c r="E14" s="8">
        <v>0</v>
      </c>
      <c r="F14" s="8"/>
      <c r="G14" s="8"/>
      <c r="H14" s="8"/>
      <c r="I14" s="8"/>
      <c r="J14" s="8"/>
      <c r="K14" s="8"/>
      <c r="L14" s="8"/>
      <c r="M14" s="8"/>
      <c r="N14" s="8"/>
      <c r="O14" s="9">
        <f t="shared" si="0"/>
        <v>0</v>
      </c>
    </row>
    <row r="15" spans="1:15" x14ac:dyDescent="0.25">
      <c r="A15" s="13" t="s">
        <v>57</v>
      </c>
      <c r="C15" s="8">
        <v>6.468</v>
      </c>
      <c r="D15" s="8">
        <v>19.403999999999996</v>
      </c>
      <c r="E15" s="8">
        <v>0</v>
      </c>
      <c r="F15" s="8"/>
      <c r="G15" s="8"/>
      <c r="H15" s="8"/>
      <c r="I15" s="8"/>
      <c r="J15" s="8"/>
      <c r="K15" s="8"/>
      <c r="L15" s="8"/>
      <c r="M15" s="8"/>
      <c r="N15" s="8"/>
      <c r="O15" s="9">
        <f t="shared" ref="O15" si="1">SUM(C15:N15)</f>
        <v>25.871999999999996</v>
      </c>
    </row>
    <row r="16" spans="1:15" x14ac:dyDescent="0.25">
      <c r="A16" s="13" t="s">
        <v>4</v>
      </c>
      <c r="C16" s="8">
        <v>0</v>
      </c>
      <c r="D16" s="8">
        <v>0</v>
      </c>
      <c r="E16" s="8">
        <v>0</v>
      </c>
      <c r="F16" s="8"/>
      <c r="G16" s="8"/>
      <c r="H16" s="8"/>
      <c r="I16" s="8"/>
      <c r="J16" s="8"/>
      <c r="K16" s="8"/>
      <c r="L16" s="8"/>
      <c r="M16" s="8"/>
      <c r="N16" s="8"/>
      <c r="O16" s="9">
        <f t="shared" si="0"/>
        <v>0</v>
      </c>
    </row>
    <row r="17" spans="1:15" x14ac:dyDescent="0.25">
      <c r="A17" s="13" t="s">
        <v>69</v>
      </c>
      <c r="C17" s="8">
        <v>0</v>
      </c>
      <c r="D17" s="8">
        <v>0</v>
      </c>
      <c r="E17" s="8">
        <v>0</v>
      </c>
      <c r="F17" s="8"/>
      <c r="G17" s="8"/>
      <c r="H17" s="8"/>
      <c r="I17" s="8"/>
      <c r="J17" s="8"/>
      <c r="K17" s="8"/>
      <c r="L17" s="8"/>
      <c r="M17" s="8"/>
      <c r="N17" s="8"/>
      <c r="O17" s="9">
        <f t="shared" ref="O17" si="2">SUM(C17:N17)</f>
        <v>0</v>
      </c>
    </row>
    <row r="18" spans="1:15" x14ac:dyDescent="0.25">
      <c r="A18" s="13" t="s">
        <v>5</v>
      </c>
      <c r="C18" s="8">
        <v>194.09399999999999</v>
      </c>
      <c r="D18" s="8">
        <v>0</v>
      </c>
      <c r="E18" s="8">
        <v>0</v>
      </c>
      <c r="F18" s="8"/>
      <c r="G18" s="8"/>
      <c r="H18" s="8"/>
      <c r="I18" s="8"/>
      <c r="J18" s="8"/>
      <c r="K18" s="8"/>
      <c r="L18" s="8"/>
      <c r="M18" s="8"/>
      <c r="N18" s="8"/>
      <c r="O18" s="9">
        <f t="shared" si="0"/>
        <v>194.09399999999999</v>
      </c>
    </row>
    <row r="19" spans="1:15" x14ac:dyDescent="0.25">
      <c r="A19" s="13" t="s">
        <v>6</v>
      </c>
      <c r="C19" s="8">
        <v>0</v>
      </c>
      <c r="D19" s="8">
        <v>0</v>
      </c>
      <c r="E19" s="8">
        <v>0</v>
      </c>
      <c r="F19" s="8"/>
      <c r="G19" s="8"/>
      <c r="H19" s="8"/>
      <c r="I19" s="8"/>
      <c r="J19" s="8"/>
      <c r="K19" s="8"/>
      <c r="L19" s="8"/>
      <c r="M19" s="8"/>
      <c r="N19" s="8"/>
      <c r="O19" s="9">
        <f t="shared" si="0"/>
        <v>0</v>
      </c>
    </row>
    <row r="20" spans="1:15" x14ac:dyDescent="0.25">
      <c r="A20" s="13" t="s">
        <v>53</v>
      </c>
      <c r="C20" s="8">
        <v>0</v>
      </c>
      <c r="D20" s="8">
        <v>0</v>
      </c>
      <c r="E20" s="8">
        <v>0</v>
      </c>
      <c r="F20" s="8"/>
      <c r="G20" s="8"/>
      <c r="H20" s="8"/>
      <c r="I20" s="8"/>
      <c r="J20" s="8"/>
      <c r="K20" s="8"/>
      <c r="L20" s="8"/>
      <c r="M20" s="8"/>
      <c r="N20" s="8"/>
      <c r="O20" s="9">
        <f t="shared" ref="O20" si="3">SUM(C20:N20)</f>
        <v>0</v>
      </c>
    </row>
    <row r="21" spans="1:15" x14ac:dyDescent="0.25">
      <c r="A21" s="13" t="s">
        <v>7</v>
      </c>
      <c r="C21" s="8">
        <v>0</v>
      </c>
      <c r="D21" s="8">
        <v>95.615999999999985</v>
      </c>
      <c r="E21" s="8">
        <v>121.1904</v>
      </c>
      <c r="F21" s="8"/>
      <c r="G21" s="8"/>
      <c r="H21" s="8"/>
      <c r="I21" s="8"/>
      <c r="J21" s="8"/>
      <c r="K21" s="8"/>
      <c r="L21" s="8"/>
      <c r="M21" s="8"/>
      <c r="N21" s="8"/>
      <c r="O21" s="9">
        <f t="shared" si="0"/>
        <v>216.8064</v>
      </c>
    </row>
    <row r="22" spans="1:15" x14ac:dyDescent="0.25">
      <c r="A22" s="13" t="s">
        <v>8</v>
      </c>
      <c r="C22" s="8">
        <v>463.86</v>
      </c>
      <c r="D22" s="8">
        <v>147.57509999999999</v>
      </c>
      <c r="E22" s="8">
        <v>77.221199999999996</v>
      </c>
      <c r="F22" s="8"/>
      <c r="G22" s="8"/>
      <c r="H22" s="8"/>
      <c r="I22" s="8"/>
      <c r="J22" s="8"/>
      <c r="K22" s="8"/>
      <c r="L22" s="8"/>
      <c r="M22" s="8"/>
      <c r="N22" s="8"/>
      <c r="O22" s="9">
        <f t="shared" si="0"/>
        <v>688.65629999999999</v>
      </c>
    </row>
    <row r="23" spans="1:15" x14ac:dyDescent="0.25">
      <c r="A23" s="13" t="s">
        <v>64</v>
      </c>
      <c r="C23" s="8">
        <v>0</v>
      </c>
      <c r="D23" s="8">
        <v>0</v>
      </c>
      <c r="E23" s="8">
        <v>0</v>
      </c>
      <c r="F23" s="8"/>
      <c r="G23" s="8"/>
      <c r="H23" s="8"/>
      <c r="I23" s="8"/>
      <c r="J23" s="8"/>
      <c r="K23" s="8"/>
      <c r="L23" s="8"/>
      <c r="M23" s="8"/>
      <c r="N23" s="8"/>
      <c r="O23" s="9">
        <f t="shared" ref="O23" si="4">SUM(C23:N23)</f>
        <v>0</v>
      </c>
    </row>
    <row r="24" spans="1:15" x14ac:dyDescent="0.25">
      <c r="A24" s="13" t="s">
        <v>9</v>
      </c>
      <c r="C24" s="8">
        <v>82.212000000000003</v>
      </c>
      <c r="D24" s="8">
        <v>253.89</v>
      </c>
      <c r="E24" s="8">
        <v>0</v>
      </c>
      <c r="F24" s="8"/>
      <c r="G24" s="8"/>
      <c r="H24" s="8"/>
      <c r="I24" s="8"/>
      <c r="J24" s="8"/>
      <c r="K24" s="8"/>
      <c r="L24" s="8"/>
      <c r="M24" s="8"/>
      <c r="N24" s="8"/>
      <c r="O24" s="9">
        <f t="shared" si="0"/>
        <v>336.10199999999998</v>
      </c>
    </row>
    <row r="25" spans="1:15" x14ac:dyDescent="0.25">
      <c r="A25" s="13" t="s">
        <v>10</v>
      </c>
      <c r="C25" s="8">
        <v>239.65049999999997</v>
      </c>
      <c r="D25" s="8">
        <v>131.80770000000001</v>
      </c>
      <c r="E25" s="8">
        <v>253.173</v>
      </c>
      <c r="F25" s="8"/>
      <c r="G25" s="8"/>
      <c r="H25" s="8"/>
      <c r="I25" s="8"/>
      <c r="J25" s="8"/>
      <c r="K25" s="8"/>
      <c r="L25" s="8"/>
      <c r="M25" s="8"/>
      <c r="N25" s="8"/>
      <c r="O25" s="9">
        <f t="shared" si="0"/>
        <v>624.63120000000004</v>
      </c>
    </row>
    <row r="26" spans="1:15" x14ac:dyDescent="0.25">
      <c r="A26" s="13" t="s">
        <v>39</v>
      </c>
      <c r="C26" s="8">
        <v>0</v>
      </c>
      <c r="D26" s="8">
        <v>0</v>
      </c>
      <c r="E26" s="8">
        <v>0</v>
      </c>
      <c r="F26" s="8"/>
      <c r="G26" s="8"/>
      <c r="H26" s="8"/>
      <c r="I26" s="8"/>
      <c r="J26" s="8"/>
      <c r="K26" s="8"/>
      <c r="L26" s="8"/>
      <c r="M26" s="8"/>
      <c r="N26" s="8"/>
      <c r="O26" s="9">
        <f t="shared" si="0"/>
        <v>0</v>
      </c>
    </row>
    <row r="27" spans="1:15" x14ac:dyDescent="0.25">
      <c r="A27" s="13" t="s">
        <v>11</v>
      </c>
      <c r="C27" s="8">
        <v>0</v>
      </c>
      <c r="D27" s="8">
        <v>0</v>
      </c>
      <c r="E27" s="8">
        <v>0</v>
      </c>
      <c r="F27" s="8"/>
      <c r="G27" s="8"/>
      <c r="H27" s="8"/>
      <c r="I27" s="8"/>
      <c r="J27" s="8"/>
      <c r="K27" s="8"/>
      <c r="L27" s="8"/>
      <c r="M27" s="8"/>
      <c r="N27" s="8"/>
      <c r="O27" s="9">
        <f t="shared" si="0"/>
        <v>0</v>
      </c>
    </row>
    <row r="28" spans="1:15" x14ac:dyDescent="0.25">
      <c r="A28" s="13" t="s">
        <v>12</v>
      </c>
      <c r="C28" s="8">
        <v>220.39439999999996</v>
      </c>
      <c r="D28" s="8">
        <v>0</v>
      </c>
      <c r="E28" s="8">
        <v>431.58</v>
      </c>
      <c r="F28" s="8"/>
      <c r="G28" s="8"/>
      <c r="H28" s="8"/>
      <c r="I28" s="8"/>
      <c r="J28" s="8"/>
      <c r="K28" s="8"/>
      <c r="L28" s="8"/>
      <c r="M28" s="8"/>
      <c r="N28" s="8"/>
      <c r="O28" s="9">
        <f t="shared" si="0"/>
        <v>651.97439999999995</v>
      </c>
    </row>
    <row r="29" spans="1:15" x14ac:dyDescent="0.25">
      <c r="A29" s="13" t="s">
        <v>63</v>
      </c>
      <c r="C29" s="8">
        <v>0</v>
      </c>
      <c r="D29" s="8">
        <v>0</v>
      </c>
      <c r="E29" s="8">
        <v>0</v>
      </c>
      <c r="F29" s="8"/>
      <c r="G29" s="8"/>
      <c r="H29" s="8"/>
      <c r="I29" s="8"/>
      <c r="J29" s="8"/>
      <c r="K29" s="8"/>
      <c r="L29" s="8"/>
      <c r="M29" s="8"/>
      <c r="N29" s="8"/>
      <c r="O29" s="9">
        <f t="shared" ref="O29" si="5">SUM(C29:N29)</f>
        <v>0</v>
      </c>
    </row>
    <row r="30" spans="1:15" x14ac:dyDescent="0.25">
      <c r="A30" s="13" t="s">
        <v>42</v>
      </c>
      <c r="C30" s="8">
        <v>69.048000000000002</v>
      </c>
      <c r="D30" s="8">
        <v>0</v>
      </c>
      <c r="E30" s="8">
        <v>21.599999999999998</v>
      </c>
      <c r="F30" s="8"/>
      <c r="G30" s="8"/>
      <c r="H30" s="8"/>
      <c r="I30" s="8"/>
      <c r="J30" s="8"/>
      <c r="K30" s="8"/>
      <c r="L30" s="8"/>
      <c r="M30" s="8"/>
      <c r="N30" s="8"/>
      <c r="O30" s="9">
        <f t="shared" si="0"/>
        <v>90.647999999999996</v>
      </c>
    </row>
    <row r="31" spans="1:15" x14ac:dyDescent="0.25">
      <c r="A31" s="13" t="s">
        <v>50</v>
      </c>
      <c r="C31" s="8">
        <v>0</v>
      </c>
      <c r="D31" s="8">
        <v>0</v>
      </c>
      <c r="E31" s="8">
        <v>0</v>
      </c>
      <c r="F31" s="8"/>
      <c r="G31" s="8"/>
      <c r="H31" s="8"/>
      <c r="I31" s="8"/>
      <c r="J31" s="8"/>
      <c r="K31" s="8"/>
      <c r="L31" s="8"/>
      <c r="M31" s="8"/>
      <c r="N31" s="8"/>
      <c r="O31" s="9">
        <f t="shared" ref="O31" si="6">SUM(C31:N31)</f>
        <v>0</v>
      </c>
    </row>
    <row r="32" spans="1:15" x14ac:dyDescent="0.25">
      <c r="A32" s="13" t="s">
        <v>40</v>
      </c>
      <c r="C32" s="8">
        <v>0</v>
      </c>
      <c r="D32" s="8">
        <v>0</v>
      </c>
      <c r="E32" s="8">
        <v>0</v>
      </c>
      <c r="F32" s="8"/>
      <c r="G32" s="8"/>
      <c r="H32" s="8"/>
      <c r="I32" s="8"/>
      <c r="J32" s="8"/>
      <c r="K32" s="8"/>
      <c r="L32" s="8"/>
      <c r="M32" s="8"/>
      <c r="N32" s="8"/>
      <c r="O32" s="9">
        <f t="shared" si="0"/>
        <v>0</v>
      </c>
    </row>
    <row r="33" spans="1:15" x14ac:dyDescent="0.25">
      <c r="A33" s="13" t="s">
        <v>13</v>
      </c>
      <c r="C33" s="8">
        <v>41.2089</v>
      </c>
      <c r="D33" s="8">
        <v>152.90369999999999</v>
      </c>
      <c r="E33" s="8">
        <v>232.71420000000001</v>
      </c>
      <c r="F33" s="8"/>
      <c r="G33" s="8"/>
      <c r="H33" s="8"/>
      <c r="I33" s="8"/>
      <c r="J33" s="8"/>
      <c r="K33" s="8"/>
      <c r="L33" s="8"/>
      <c r="M33" s="8"/>
      <c r="N33" s="8"/>
      <c r="O33" s="9">
        <f t="shared" si="0"/>
        <v>426.82679999999999</v>
      </c>
    </row>
    <row r="34" spans="1:15" x14ac:dyDescent="0.25">
      <c r="A34" s="13" t="s">
        <v>54</v>
      </c>
      <c r="C34" s="8">
        <v>0</v>
      </c>
      <c r="D34" s="8">
        <v>0</v>
      </c>
      <c r="E34" s="8">
        <v>0</v>
      </c>
      <c r="F34" s="8"/>
      <c r="G34" s="8"/>
      <c r="H34" s="8"/>
      <c r="I34" s="8"/>
      <c r="J34" s="8"/>
      <c r="K34" s="8"/>
      <c r="L34" s="8"/>
      <c r="M34" s="8"/>
      <c r="N34" s="8"/>
      <c r="O34" s="9">
        <f t="shared" ref="O34" si="7">SUM(C34:N34)</f>
        <v>0</v>
      </c>
    </row>
    <row r="35" spans="1:15" x14ac:dyDescent="0.25">
      <c r="A35" s="13" t="s">
        <v>73</v>
      </c>
      <c r="C35" s="8">
        <v>0</v>
      </c>
      <c r="D35" s="8">
        <v>0</v>
      </c>
      <c r="E35" s="8">
        <v>0</v>
      </c>
      <c r="F35" s="8"/>
      <c r="G35" s="8"/>
      <c r="H35" s="8"/>
      <c r="I35" s="8"/>
      <c r="J35" s="8"/>
      <c r="K35" s="8"/>
      <c r="L35" s="8"/>
      <c r="M35" s="8"/>
      <c r="N35" s="8"/>
      <c r="O35" s="9">
        <f t="shared" ref="O35" si="8">SUM(C35:N35)</f>
        <v>0</v>
      </c>
    </row>
    <row r="36" spans="1:15" x14ac:dyDescent="0.25">
      <c r="A36" s="13" t="s">
        <v>14</v>
      </c>
      <c r="C36" s="8">
        <v>0</v>
      </c>
      <c r="D36" s="8">
        <v>0</v>
      </c>
      <c r="E36" s="8">
        <v>14.6412</v>
      </c>
      <c r="F36" s="8"/>
      <c r="G36" s="8"/>
      <c r="H36" s="8"/>
      <c r="I36" s="8"/>
      <c r="J36" s="8"/>
      <c r="K36" s="8"/>
      <c r="L36" s="8"/>
      <c r="M36" s="8"/>
      <c r="N36" s="8"/>
      <c r="O36" s="9">
        <f t="shared" si="0"/>
        <v>14.6412</v>
      </c>
    </row>
    <row r="37" spans="1:15" x14ac:dyDescent="0.25">
      <c r="A37" s="13" t="s">
        <v>61</v>
      </c>
      <c r="C37" s="8">
        <v>226.92096000000001</v>
      </c>
      <c r="D37" s="8">
        <v>0</v>
      </c>
      <c r="E37" s="8">
        <v>113.73343800000001</v>
      </c>
      <c r="F37" s="8"/>
      <c r="G37" s="8"/>
      <c r="H37" s="8"/>
      <c r="I37" s="8"/>
      <c r="J37" s="8"/>
      <c r="K37" s="8"/>
      <c r="L37" s="8"/>
      <c r="M37" s="8"/>
      <c r="N37" s="8"/>
      <c r="O37" s="9">
        <f t="shared" ref="O37:O38" si="9">SUM(C37:N37)</f>
        <v>340.65439800000001</v>
      </c>
    </row>
    <row r="38" spans="1:15" x14ac:dyDescent="0.25">
      <c r="A38" s="13" t="s">
        <v>66</v>
      </c>
      <c r="C38" s="8">
        <v>0</v>
      </c>
      <c r="D38" s="8">
        <v>0</v>
      </c>
      <c r="E38" s="8">
        <v>0</v>
      </c>
      <c r="F38" s="8"/>
      <c r="G38" s="8"/>
      <c r="H38" s="8"/>
      <c r="I38" s="8"/>
      <c r="J38" s="8"/>
      <c r="K38" s="8"/>
      <c r="L38" s="8"/>
      <c r="M38" s="8"/>
      <c r="N38" s="8"/>
      <c r="O38" s="9">
        <f t="shared" si="9"/>
        <v>0</v>
      </c>
    </row>
    <row r="39" spans="1:15" x14ac:dyDescent="0.25">
      <c r="A39" s="13" t="s">
        <v>15</v>
      </c>
      <c r="C39" s="8">
        <v>0</v>
      </c>
      <c r="D39" s="8">
        <v>314.68619999999999</v>
      </c>
      <c r="E39" s="8">
        <v>32.117999999999995</v>
      </c>
      <c r="F39" s="8"/>
      <c r="G39" s="8"/>
      <c r="H39" s="8"/>
      <c r="I39" s="8"/>
      <c r="J39" s="8"/>
      <c r="K39" s="8"/>
      <c r="L39" s="8"/>
      <c r="M39" s="8"/>
      <c r="N39" s="8"/>
      <c r="O39" s="9">
        <f t="shared" si="0"/>
        <v>346.80419999999998</v>
      </c>
    </row>
    <row r="40" spans="1:15" x14ac:dyDescent="0.25">
      <c r="A40" s="13" t="s">
        <v>71</v>
      </c>
      <c r="C40" s="8">
        <v>104.86799999999999</v>
      </c>
      <c r="D40" s="8">
        <v>220.14</v>
      </c>
      <c r="E40" s="8">
        <v>80.039999999999992</v>
      </c>
      <c r="F40" s="8"/>
      <c r="G40" s="8"/>
      <c r="H40" s="8"/>
      <c r="I40" s="8"/>
      <c r="J40" s="8"/>
      <c r="K40" s="8"/>
      <c r="L40" s="8"/>
      <c r="M40" s="8"/>
      <c r="N40" s="8"/>
      <c r="O40" s="9">
        <f t="shared" ref="O40" si="10">SUM(C40:N40)</f>
        <v>405.048</v>
      </c>
    </row>
    <row r="41" spans="1:15" x14ac:dyDescent="0.25">
      <c r="A41" s="13" t="s">
        <v>45</v>
      </c>
      <c r="C41" s="8">
        <v>44.826000000000001</v>
      </c>
      <c r="D41" s="8">
        <v>0</v>
      </c>
      <c r="E41" s="8">
        <v>0</v>
      </c>
      <c r="F41" s="8"/>
      <c r="G41" s="8"/>
      <c r="H41" s="8"/>
      <c r="I41" s="8"/>
      <c r="J41" s="8"/>
      <c r="K41" s="8"/>
      <c r="L41" s="8"/>
      <c r="M41" s="8"/>
      <c r="N41" s="8"/>
      <c r="O41" s="9">
        <f t="shared" si="0"/>
        <v>44.826000000000001</v>
      </c>
    </row>
    <row r="42" spans="1:15" x14ac:dyDescent="0.25">
      <c r="A42" s="13" t="s">
        <v>46</v>
      </c>
      <c r="C42" s="8">
        <v>63.324000000000005</v>
      </c>
      <c r="D42" s="8">
        <v>0</v>
      </c>
      <c r="E42" s="8">
        <v>0</v>
      </c>
      <c r="F42" s="8"/>
      <c r="G42" s="8"/>
      <c r="H42" s="8"/>
      <c r="I42" s="8"/>
      <c r="J42" s="8"/>
      <c r="K42" s="8"/>
      <c r="L42" s="8"/>
      <c r="M42" s="8"/>
      <c r="N42" s="8"/>
      <c r="O42" s="9">
        <f t="shared" si="0"/>
        <v>63.324000000000005</v>
      </c>
    </row>
    <row r="43" spans="1:15" x14ac:dyDescent="0.25">
      <c r="A43" s="13" t="s">
        <v>70</v>
      </c>
      <c r="C43" s="8">
        <v>13.892399999999999</v>
      </c>
      <c r="D43" s="8">
        <v>67.749599999999987</v>
      </c>
      <c r="E43" s="8">
        <v>0</v>
      </c>
      <c r="F43" s="8"/>
      <c r="G43" s="8"/>
      <c r="H43" s="8"/>
      <c r="I43" s="8"/>
      <c r="J43" s="8"/>
      <c r="K43" s="8"/>
      <c r="L43" s="8"/>
      <c r="M43" s="8"/>
      <c r="N43" s="8"/>
      <c r="O43" s="9">
        <f t="shared" ref="O43" si="11">SUM(C43:N43)</f>
        <v>81.641999999999982</v>
      </c>
    </row>
    <row r="44" spans="1:15" x14ac:dyDescent="0.25">
      <c r="A44" s="13" t="s">
        <v>16</v>
      </c>
      <c r="C44" s="8">
        <v>77.087999999999994</v>
      </c>
      <c r="D44" s="8">
        <v>0</v>
      </c>
      <c r="E44" s="8">
        <v>84.214799999999997</v>
      </c>
      <c r="F44" s="8"/>
      <c r="G44" s="8"/>
      <c r="H44" s="8"/>
      <c r="I44" s="8"/>
      <c r="J44" s="8"/>
      <c r="K44" s="8"/>
      <c r="L44" s="8"/>
      <c r="M44" s="8"/>
      <c r="N44" s="8"/>
      <c r="O44" s="9">
        <f t="shared" si="0"/>
        <v>161.30279999999999</v>
      </c>
    </row>
    <row r="45" spans="1:15" x14ac:dyDescent="0.25">
      <c r="A45" s="13" t="s">
        <v>58</v>
      </c>
      <c r="C45" s="8">
        <v>0</v>
      </c>
      <c r="D45" s="8">
        <v>0</v>
      </c>
      <c r="E45" s="8">
        <v>0</v>
      </c>
      <c r="F45" s="8"/>
      <c r="G45" s="8"/>
      <c r="H45" s="8"/>
      <c r="I45" s="8"/>
      <c r="J45" s="8"/>
      <c r="K45" s="8"/>
      <c r="L45" s="8"/>
      <c r="M45" s="8"/>
      <c r="N45" s="8"/>
      <c r="O45" s="9">
        <f t="shared" ref="O45" si="12">SUM(C45:N45)</f>
        <v>0</v>
      </c>
    </row>
    <row r="46" spans="1:15" x14ac:dyDescent="0.25">
      <c r="A46" s="13" t="s">
        <v>17</v>
      </c>
      <c r="C46" s="8">
        <v>0</v>
      </c>
      <c r="D46" s="8">
        <v>27.833999999999996</v>
      </c>
      <c r="E46" s="8">
        <v>0</v>
      </c>
      <c r="F46" s="8"/>
      <c r="G46" s="8"/>
      <c r="H46" s="8"/>
      <c r="I46" s="8"/>
      <c r="J46" s="8"/>
      <c r="K46" s="8"/>
      <c r="L46" s="8"/>
      <c r="M46" s="8"/>
      <c r="N46" s="8"/>
      <c r="O46" s="9">
        <f t="shared" si="0"/>
        <v>27.833999999999996</v>
      </c>
    </row>
    <row r="47" spans="1:15" x14ac:dyDescent="0.25">
      <c r="A47" s="13" t="s">
        <v>59</v>
      </c>
      <c r="C47" s="8">
        <v>0</v>
      </c>
      <c r="D47" s="8">
        <v>0</v>
      </c>
      <c r="E47" s="8">
        <v>0</v>
      </c>
      <c r="F47" s="8"/>
      <c r="G47" s="8"/>
      <c r="H47" s="8"/>
      <c r="I47" s="8"/>
      <c r="J47" s="8"/>
      <c r="K47" s="8"/>
      <c r="L47" s="8"/>
      <c r="M47" s="8"/>
      <c r="N47" s="8"/>
      <c r="O47" s="9">
        <f t="shared" si="0"/>
        <v>0</v>
      </c>
    </row>
    <row r="48" spans="1:15" x14ac:dyDescent="0.25">
      <c r="A48" s="13" t="s">
        <v>60</v>
      </c>
      <c r="C48" s="8">
        <v>0</v>
      </c>
      <c r="D48" s="8">
        <v>0</v>
      </c>
      <c r="E48" s="8">
        <v>0</v>
      </c>
      <c r="F48" s="8"/>
      <c r="G48" s="8"/>
      <c r="H48" s="8"/>
      <c r="I48" s="8"/>
      <c r="J48" s="8"/>
      <c r="K48" s="8"/>
      <c r="L48" s="8"/>
      <c r="M48" s="8"/>
      <c r="N48" s="8"/>
      <c r="O48" s="9">
        <f t="shared" ref="O48" si="13">SUM(C48:N48)</f>
        <v>0</v>
      </c>
    </row>
    <row r="49" spans="1:15" x14ac:dyDescent="0.25">
      <c r="A49" s="13" t="s">
        <v>18</v>
      </c>
      <c r="C49" s="8">
        <v>0</v>
      </c>
      <c r="D49" s="8">
        <v>0</v>
      </c>
      <c r="E49" s="8">
        <v>0</v>
      </c>
      <c r="F49" s="8"/>
      <c r="G49" s="8"/>
      <c r="H49" s="8"/>
      <c r="I49" s="8"/>
      <c r="J49" s="8"/>
      <c r="K49" s="8"/>
      <c r="L49" s="8"/>
      <c r="M49" s="8"/>
      <c r="N49" s="8"/>
      <c r="O49" s="9">
        <f t="shared" si="0"/>
        <v>0</v>
      </c>
    </row>
    <row r="50" spans="1:15" x14ac:dyDescent="0.25">
      <c r="A50" s="13" t="s">
        <v>51</v>
      </c>
      <c r="C50" s="8">
        <v>0</v>
      </c>
      <c r="D50" s="8">
        <v>45.848399999999998</v>
      </c>
      <c r="E50" s="8">
        <v>0</v>
      </c>
      <c r="F50" s="8"/>
      <c r="G50" s="8"/>
      <c r="H50" s="8"/>
      <c r="I50" s="8"/>
      <c r="J50" s="8"/>
      <c r="K50" s="8"/>
      <c r="L50" s="8"/>
      <c r="M50" s="8"/>
      <c r="N50" s="8"/>
      <c r="O50" s="9">
        <f t="shared" ref="O50:O52" si="14">SUM(C50:N50)</f>
        <v>45.848399999999998</v>
      </c>
    </row>
    <row r="51" spans="1:15" x14ac:dyDescent="0.25">
      <c r="A51" s="13" t="s">
        <v>62</v>
      </c>
      <c r="C51" s="8">
        <v>0</v>
      </c>
      <c r="D51" s="8">
        <v>0</v>
      </c>
      <c r="E51" s="8">
        <v>0</v>
      </c>
      <c r="F51" s="8"/>
      <c r="G51" s="8"/>
      <c r="H51" s="8"/>
      <c r="I51" s="8"/>
      <c r="J51" s="8"/>
      <c r="K51" s="8"/>
      <c r="L51" s="8"/>
      <c r="M51" s="8"/>
      <c r="N51" s="8"/>
      <c r="O51" s="9">
        <f t="shared" ref="O51" si="15">SUM(C51:N51)</f>
        <v>0</v>
      </c>
    </row>
    <row r="52" spans="1:15" x14ac:dyDescent="0.25">
      <c r="A52" s="13" t="s">
        <v>55</v>
      </c>
      <c r="C52" s="8">
        <v>0</v>
      </c>
      <c r="D52" s="8">
        <v>0</v>
      </c>
      <c r="E52" s="8">
        <v>0</v>
      </c>
      <c r="F52" s="8"/>
      <c r="G52" s="8"/>
      <c r="H52" s="8"/>
      <c r="I52" s="8"/>
      <c r="J52" s="8"/>
      <c r="K52" s="8"/>
      <c r="L52" s="8"/>
      <c r="M52" s="8"/>
      <c r="N52" s="8"/>
      <c r="O52" s="9">
        <f t="shared" si="14"/>
        <v>0</v>
      </c>
    </row>
    <row r="53" spans="1:15" x14ac:dyDescent="0.25">
      <c r="A53" s="13" t="s">
        <v>47</v>
      </c>
      <c r="C53" s="8">
        <v>0</v>
      </c>
      <c r="D53" s="8">
        <v>95.289600000000007</v>
      </c>
      <c r="E53" s="8">
        <v>0</v>
      </c>
      <c r="F53" s="8"/>
      <c r="G53" s="8"/>
      <c r="H53" s="8"/>
      <c r="I53" s="8"/>
      <c r="J53" s="8"/>
      <c r="K53" s="8"/>
      <c r="L53" s="8"/>
      <c r="M53" s="8"/>
      <c r="N53" s="8"/>
      <c r="O53" s="9">
        <f t="shared" si="0"/>
        <v>95.289600000000007</v>
      </c>
    </row>
    <row r="54" spans="1:15" x14ac:dyDescent="0.25">
      <c r="A54" s="13" t="s">
        <v>19</v>
      </c>
      <c r="C54" s="8">
        <v>502.90459999999996</v>
      </c>
      <c r="D54" s="8">
        <v>596.91700000000003</v>
      </c>
      <c r="E54" s="8">
        <v>706.20310000000006</v>
      </c>
      <c r="F54" s="8"/>
      <c r="G54" s="8"/>
      <c r="H54" s="8"/>
      <c r="I54" s="8"/>
      <c r="J54" s="8"/>
      <c r="K54" s="8"/>
      <c r="L54" s="8"/>
      <c r="M54" s="8"/>
      <c r="N54" s="8"/>
      <c r="O54" s="9">
        <f t="shared" si="0"/>
        <v>1806.0246999999999</v>
      </c>
    </row>
    <row r="55" spans="1:15" x14ac:dyDescent="0.25">
      <c r="A55" s="13" t="s">
        <v>56</v>
      </c>
      <c r="C55" s="8">
        <v>11.8674</v>
      </c>
      <c r="D55" s="8">
        <v>0</v>
      </c>
      <c r="E55" s="8">
        <v>0</v>
      </c>
      <c r="F55" s="8"/>
      <c r="G55" s="8"/>
      <c r="H55" s="8"/>
      <c r="I55" s="8"/>
      <c r="J55" s="8"/>
      <c r="K55" s="8"/>
      <c r="L55" s="8"/>
      <c r="M55" s="8"/>
      <c r="N55" s="8"/>
      <c r="O55" s="9">
        <f t="shared" ref="O55" si="16">SUM(C55:N55)</f>
        <v>11.8674</v>
      </c>
    </row>
    <row r="56" spans="1:15" x14ac:dyDescent="0.25">
      <c r="A56" s="13" t="s">
        <v>20</v>
      </c>
      <c r="C56" s="8">
        <v>0</v>
      </c>
      <c r="D56" s="8">
        <v>0</v>
      </c>
      <c r="E56" s="8">
        <v>0</v>
      </c>
      <c r="F56" s="8"/>
      <c r="G56" s="8"/>
      <c r="H56" s="8"/>
      <c r="I56" s="8"/>
      <c r="J56" s="8"/>
      <c r="K56" s="8"/>
      <c r="L56" s="8"/>
      <c r="M56" s="8"/>
      <c r="N56" s="8"/>
      <c r="O56" s="9">
        <f t="shared" si="0"/>
        <v>0</v>
      </c>
    </row>
    <row r="57" spans="1:15" x14ac:dyDescent="0.25">
      <c r="A57" s="13" t="s">
        <v>72</v>
      </c>
      <c r="C57" s="8">
        <v>1072.1981999999998</v>
      </c>
      <c r="D57" s="8">
        <v>205.54649999999998</v>
      </c>
      <c r="E57" s="8">
        <v>585.42149999999992</v>
      </c>
      <c r="F57" s="8"/>
      <c r="G57" s="8"/>
      <c r="H57" s="8"/>
      <c r="I57" s="8"/>
      <c r="J57" s="8"/>
      <c r="K57" s="8"/>
      <c r="L57" s="8"/>
      <c r="M57" s="8"/>
      <c r="N57" s="8"/>
      <c r="O57" s="9">
        <f t="shared" ref="O57" si="17">SUM(C57:N57)</f>
        <v>1863.1661999999997</v>
      </c>
    </row>
    <row r="58" spans="1:15" x14ac:dyDescent="0.25">
      <c r="A58" s="13" t="s">
        <v>41</v>
      </c>
      <c r="C58" s="8">
        <v>0</v>
      </c>
      <c r="D58" s="8">
        <v>0</v>
      </c>
      <c r="E58" s="8">
        <v>0</v>
      </c>
      <c r="F58" s="8"/>
      <c r="G58" s="8"/>
      <c r="H58" s="8"/>
      <c r="I58" s="8"/>
      <c r="J58" s="8"/>
      <c r="K58" s="8"/>
      <c r="L58" s="8"/>
      <c r="M58" s="8"/>
      <c r="N58" s="8"/>
      <c r="O58" s="9">
        <f t="shared" si="0"/>
        <v>0</v>
      </c>
    </row>
    <row r="59" spans="1:15" x14ac:dyDescent="0.25">
      <c r="A59" s="13" t="s">
        <v>141</v>
      </c>
      <c r="C59" s="8">
        <v>298.91000000000003</v>
      </c>
      <c r="D59" s="8">
        <v>0</v>
      </c>
      <c r="E59" s="8">
        <v>0</v>
      </c>
      <c r="F59" s="8"/>
      <c r="G59" s="8"/>
      <c r="H59" s="8"/>
      <c r="I59" s="8"/>
      <c r="J59" s="8"/>
      <c r="K59" s="8"/>
      <c r="L59" s="8"/>
      <c r="M59" s="8"/>
      <c r="N59" s="8"/>
      <c r="O59" s="9">
        <f t="shared" si="0"/>
        <v>298.91000000000003</v>
      </c>
    </row>
    <row r="60" spans="1:15" x14ac:dyDescent="0.25">
      <c r="A60" s="13" t="s">
        <v>52</v>
      </c>
      <c r="C60" s="8">
        <v>0</v>
      </c>
      <c r="D60" s="8">
        <v>0</v>
      </c>
      <c r="E60" s="8">
        <v>22.783265999999998</v>
      </c>
      <c r="F60" s="8"/>
      <c r="G60" s="8"/>
      <c r="H60" s="8"/>
      <c r="I60" s="8"/>
      <c r="J60" s="8"/>
      <c r="K60" s="8"/>
      <c r="L60" s="8"/>
      <c r="M60" s="8"/>
      <c r="N60" s="8"/>
      <c r="O60" s="9">
        <f t="shared" ref="O60" si="18">SUM(C60:N60)</f>
        <v>22.783265999999998</v>
      </c>
    </row>
    <row r="61" spans="1:15" x14ac:dyDescent="0.25">
      <c r="A61" s="13" t="s">
        <v>43</v>
      </c>
      <c r="C61" s="8">
        <v>307.20599999999996</v>
      </c>
      <c r="D61" s="8">
        <v>0</v>
      </c>
      <c r="E61" s="8">
        <v>0</v>
      </c>
      <c r="F61" s="8"/>
      <c r="G61" s="8"/>
      <c r="H61" s="8"/>
      <c r="I61" s="8"/>
      <c r="J61" s="8"/>
      <c r="K61" s="8"/>
      <c r="L61" s="8"/>
      <c r="M61" s="8"/>
      <c r="N61" s="8"/>
      <c r="O61" s="9">
        <f t="shared" si="0"/>
        <v>307.20599999999996</v>
      </c>
    </row>
    <row r="62" spans="1:15" x14ac:dyDescent="0.25">
      <c r="A62" s="13" t="s">
        <v>44</v>
      </c>
      <c r="C62" s="8">
        <v>0</v>
      </c>
      <c r="D62" s="8">
        <v>0</v>
      </c>
      <c r="E62" s="8">
        <v>0</v>
      </c>
      <c r="F62" s="8"/>
      <c r="G62" s="8"/>
      <c r="H62" s="8"/>
      <c r="I62" s="8"/>
      <c r="J62" s="8"/>
      <c r="K62" s="8"/>
      <c r="L62" s="8"/>
      <c r="M62" s="8"/>
      <c r="N62" s="8"/>
      <c r="O62" s="9">
        <f t="shared" si="0"/>
        <v>0</v>
      </c>
    </row>
    <row r="63" spans="1:15" x14ac:dyDescent="0.25">
      <c r="A63" s="13" t="s">
        <v>65</v>
      </c>
      <c r="C63" s="8">
        <v>0</v>
      </c>
      <c r="D63" s="8">
        <v>0</v>
      </c>
      <c r="E63" s="8">
        <v>0</v>
      </c>
      <c r="F63" s="8"/>
      <c r="G63" s="8"/>
      <c r="H63" s="8"/>
      <c r="I63" s="8"/>
      <c r="J63" s="8"/>
      <c r="K63" s="8"/>
      <c r="L63" s="8"/>
      <c r="M63" s="8"/>
      <c r="N63" s="8"/>
      <c r="O63" s="9">
        <f t="shared" ref="O63:O64" si="19">SUM(C63:N63)</f>
        <v>0</v>
      </c>
    </row>
    <row r="64" spans="1:15" x14ac:dyDescent="0.25">
      <c r="A64" s="13" t="s">
        <v>74</v>
      </c>
      <c r="C64" s="8">
        <v>0</v>
      </c>
      <c r="D64" s="8">
        <v>0</v>
      </c>
      <c r="E64" s="8">
        <v>0</v>
      </c>
      <c r="F64" s="8"/>
      <c r="G64" s="8"/>
      <c r="H64" s="8"/>
      <c r="I64" s="8"/>
      <c r="J64" s="8"/>
      <c r="K64" s="8"/>
      <c r="L64" s="8"/>
      <c r="M64" s="8"/>
      <c r="N64" s="8"/>
      <c r="O64" s="9">
        <f t="shared" si="19"/>
        <v>0</v>
      </c>
    </row>
    <row r="65" spans="1:15" x14ac:dyDescent="0.25">
      <c r="A65" s="13" t="s">
        <v>67</v>
      </c>
      <c r="C65" s="8">
        <v>0</v>
      </c>
      <c r="D65" s="8">
        <v>0</v>
      </c>
      <c r="E65" s="8" t="s">
        <v>491</v>
      </c>
      <c r="F65" s="8"/>
      <c r="G65" s="8"/>
      <c r="H65" s="8"/>
      <c r="I65" s="8"/>
      <c r="J65" s="8"/>
      <c r="K65" s="8"/>
      <c r="L65" s="8"/>
      <c r="M65" s="8"/>
      <c r="N65" s="8"/>
      <c r="O65" s="9">
        <f t="shared" ref="O65" si="20">SUM(C65:N65)</f>
        <v>0</v>
      </c>
    </row>
    <row r="66" spans="1:15" ht="15.75" thickBot="1" x14ac:dyDescent="0.3">
      <c r="A66" s="1" t="s">
        <v>36</v>
      </c>
      <c r="C66" s="12">
        <f t="shared" ref="C66:L66" si="21">SUM(C8:C65)</f>
        <v>5292.4295599999996</v>
      </c>
      <c r="D66" s="12">
        <v>4133.7386999999999</v>
      </c>
      <c r="E66" s="12">
        <f t="shared" si="21"/>
        <v>3952.0968040000002</v>
      </c>
      <c r="F66" s="12">
        <f t="shared" si="21"/>
        <v>0</v>
      </c>
      <c r="G66" s="12">
        <f t="shared" si="21"/>
        <v>0</v>
      </c>
      <c r="H66" s="12">
        <f t="shared" si="21"/>
        <v>0</v>
      </c>
      <c r="I66" s="12">
        <f t="shared" si="21"/>
        <v>0</v>
      </c>
      <c r="J66" s="12">
        <v>5675.7444900000019</v>
      </c>
      <c r="K66" s="12">
        <f t="shared" si="21"/>
        <v>0</v>
      </c>
      <c r="L66" s="12">
        <f t="shared" si="21"/>
        <v>0</v>
      </c>
      <c r="M66" s="12">
        <f>SUM(M8:M65)</f>
        <v>0</v>
      </c>
      <c r="N66" s="12">
        <f t="shared" ref="N66:O66" si="22">SUM(N8:N65)</f>
        <v>0</v>
      </c>
      <c r="O66" s="12">
        <f t="shared" si="22"/>
        <v>13378.265063999999</v>
      </c>
    </row>
    <row r="67" spans="1:15" ht="15.75" thickTop="1" x14ac:dyDescent="0.25">
      <c r="A67" s="10"/>
    </row>
    <row r="68" spans="1:15" x14ac:dyDescent="0.25">
      <c r="A68" s="10"/>
      <c r="F68" s="15"/>
    </row>
    <row r="69" spans="1:15" x14ac:dyDescent="0.25">
      <c r="A69" s="10"/>
    </row>
    <row r="70" spans="1:15" x14ac:dyDescent="0.25">
      <c r="A70" s="11"/>
    </row>
    <row r="71" spans="1:15" x14ac:dyDescent="0.25">
      <c r="A71" s="11"/>
    </row>
    <row r="72" spans="1:15" x14ac:dyDescent="0.25">
      <c r="A72" s="11"/>
    </row>
    <row r="73" spans="1:15" x14ac:dyDescent="0.25">
      <c r="A73" s="11"/>
    </row>
    <row r="74" spans="1:15" x14ac:dyDescent="0.25">
      <c r="A74" s="11"/>
    </row>
    <row r="75" spans="1:15" x14ac:dyDescent="0.25">
      <c r="A75" s="11"/>
    </row>
    <row r="76" spans="1:15" x14ac:dyDescent="0.25">
      <c r="A76" s="11"/>
    </row>
    <row r="77" spans="1:15" x14ac:dyDescent="0.25">
      <c r="A77" s="11"/>
    </row>
    <row r="78" spans="1:15" x14ac:dyDescent="0.25">
      <c r="A78" s="11"/>
    </row>
  </sheetData>
  <mergeCells count="1">
    <mergeCell ref="C6:O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69F5-F300-4B9B-BE04-7664BFB5D062}">
  <dimension ref="A1:U89"/>
  <sheetViews>
    <sheetView topLeftCell="F1" workbookViewId="0">
      <selection activeCell="S3" sqref="S3"/>
    </sheetView>
  </sheetViews>
  <sheetFormatPr defaultRowHeight="15" x14ac:dyDescent="0.25"/>
  <cols>
    <col min="1" max="1" width="6.140625" customWidth="1"/>
    <col min="2" max="2" width="8.7109375" customWidth="1"/>
    <col min="3" max="3" width="7.140625" customWidth="1"/>
    <col min="4" max="4" width="10.85546875" customWidth="1"/>
    <col min="5" max="5" width="10.42578125" customWidth="1"/>
    <col min="6" max="6" width="7" customWidth="1"/>
    <col min="7" max="7" width="58.140625" customWidth="1"/>
    <col min="8" max="8" width="22.85546875" customWidth="1"/>
    <col min="9" max="9" width="13.140625" customWidth="1"/>
    <col min="10" max="10" width="12.42578125" customWidth="1"/>
    <col min="11" max="11" width="11.140625" customWidth="1"/>
    <col min="12" max="12" width="10.5703125" customWidth="1"/>
    <col min="13" max="13" width="15.85546875" customWidth="1"/>
    <col min="14" max="14" width="12.140625" customWidth="1"/>
    <col min="15" max="15" width="11.7109375" customWidth="1"/>
    <col min="16" max="16" width="14.42578125" customWidth="1"/>
    <col min="17" max="17" width="15.7109375" customWidth="1"/>
    <col min="19" max="19" width="13.42578125" bestFit="1" customWidth="1"/>
    <col min="20" max="20" width="16" bestFit="1" customWidth="1"/>
    <col min="21" max="21" width="19.42578125" bestFit="1" customWidth="1"/>
  </cols>
  <sheetData>
    <row r="1" spans="1:21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</row>
    <row r="2" spans="1:21" x14ac:dyDescent="0.25">
      <c r="A2" s="16" t="s">
        <v>92</v>
      </c>
      <c r="B2" s="16" t="s">
        <v>93</v>
      </c>
      <c r="C2" s="16" t="s">
        <v>93</v>
      </c>
      <c r="D2" s="16" t="s">
        <v>93</v>
      </c>
      <c r="E2" s="16" t="s">
        <v>94</v>
      </c>
      <c r="F2" s="16" t="s">
        <v>0</v>
      </c>
      <c r="G2" t="s">
        <v>95</v>
      </c>
      <c r="H2" s="17" t="s">
        <v>396</v>
      </c>
      <c r="I2" s="17" t="s">
        <v>397</v>
      </c>
      <c r="J2" s="18">
        <v>46094</v>
      </c>
      <c r="K2" s="19">
        <v>10</v>
      </c>
      <c r="L2" s="20">
        <v>50.45</v>
      </c>
      <c r="M2" s="21">
        <v>1</v>
      </c>
      <c r="N2" s="22">
        <v>504.5</v>
      </c>
      <c r="O2" s="21">
        <v>0.03</v>
      </c>
      <c r="P2" s="22">
        <f t="shared" ref="P2:P65" si="0">N2 * O2</f>
        <v>15.135</v>
      </c>
      <c r="Q2" s="16" t="s">
        <v>101</v>
      </c>
    </row>
    <row r="3" spans="1:21" x14ac:dyDescent="0.25">
      <c r="A3" s="16" t="s">
        <v>92</v>
      </c>
      <c r="B3" s="16" t="s">
        <v>93</v>
      </c>
      <c r="C3" s="16" t="s">
        <v>93</v>
      </c>
      <c r="D3" s="16" t="s">
        <v>93</v>
      </c>
      <c r="E3" s="16" t="s">
        <v>94</v>
      </c>
      <c r="F3" s="16" t="s">
        <v>0</v>
      </c>
      <c r="G3" t="s">
        <v>95</v>
      </c>
      <c r="H3" s="17" t="s">
        <v>108</v>
      </c>
      <c r="I3" s="17" t="s">
        <v>397</v>
      </c>
      <c r="J3" s="18">
        <v>46094</v>
      </c>
      <c r="K3" s="19">
        <v>10</v>
      </c>
      <c r="L3" s="20">
        <v>50.22</v>
      </c>
      <c r="M3" s="21">
        <v>1</v>
      </c>
      <c r="N3" s="22">
        <v>502.2</v>
      </c>
      <c r="O3" s="21">
        <v>0.03</v>
      </c>
      <c r="P3" s="22">
        <f t="shared" si="0"/>
        <v>15.065999999999999</v>
      </c>
      <c r="Q3" s="16" t="s">
        <v>101</v>
      </c>
      <c r="S3" t="s">
        <v>102</v>
      </c>
      <c r="T3" t="s">
        <v>103</v>
      </c>
      <c r="U3" t="s">
        <v>104</v>
      </c>
    </row>
    <row r="4" spans="1:21" x14ac:dyDescent="0.25">
      <c r="A4" s="16" t="s">
        <v>92</v>
      </c>
      <c r="B4" s="16" t="s">
        <v>93</v>
      </c>
      <c r="C4" s="16" t="s">
        <v>93</v>
      </c>
      <c r="D4" s="16" t="s">
        <v>93</v>
      </c>
      <c r="E4" s="16" t="s">
        <v>94</v>
      </c>
      <c r="F4" s="16" t="s">
        <v>0</v>
      </c>
      <c r="G4" t="s">
        <v>95</v>
      </c>
      <c r="H4" s="17" t="s">
        <v>396</v>
      </c>
      <c r="I4" s="17" t="s">
        <v>398</v>
      </c>
      <c r="J4" s="18">
        <v>46107</v>
      </c>
      <c r="K4" s="19">
        <v>10</v>
      </c>
      <c r="L4" s="20">
        <v>50.45</v>
      </c>
      <c r="M4" s="21">
        <v>1</v>
      </c>
      <c r="N4" s="22">
        <v>504.5</v>
      </c>
      <c r="O4" s="21">
        <v>0.03</v>
      </c>
      <c r="P4" s="22">
        <f t="shared" si="0"/>
        <v>15.135</v>
      </c>
      <c r="Q4" s="16" t="s">
        <v>101</v>
      </c>
      <c r="S4" s="23" t="s">
        <v>0</v>
      </c>
      <c r="T4" s="24">
        <v>2508.1</v>
      </c>
      <c r="U4" s="24">
        <v>75.242999999999995</v>
      </c>
    </row>
    <row r="5" spans="1:21" x14ac:dyDescent="0.25">
      <c r="A5" s="16" t="s">
        <v>92</v>
      </c>
      <c r="B5" s="16" t="s">
        <v>93</v>
      </c>
      <c r="C5" s="16" t="s">
        <v>93</v>
      </c>
      <c r="D5" s="16" t="s">
        <v>93</v>
      </c>
      <c r="E5" s="16" t="s">
        <v>202</v>
      </c>
      <c r="F5" s="16" t="s">
        <v>0</v>
      </c>
      <c r="G5" t="s">
        <v>95</v>
      </c>
      <c r="H5" s="17" t="s">
        <v>99</v>
      </c>
      <c r="I5" s="17" t="s">
        <v>399</v>
      </c>
      <c r="J5" s="18">
        <v>46111</v>
      </c>
      <c r="K5" s="19">
        <v>10</v>
      </c>
      <c r="L5" s="20">
        <v>49.34</v>
      </c>
      <c r="M5" s="21">
        <v>1</v>
      </c>
      <c r="N5" s="22">
        <v>493.4</v>
      </c>
      <c r="O5" s="21">
        <v>0.03</v>
      </c>
      <c r="P5" s="22">
        <f t="shared" si="0"/>
        <v>14.802</v>
      </c>
      <c r="Q5" s="16" t="s">
        <v>303</v>
      </c>
      <c r="S5" s="23" t="s">
        <v>1</v>
      </c>
      <c r="T5" s="24">
        <v>21403.77</v>
      </c>
      <c r="U5" s="24">
        <v>642.11310000000003</v>
      </c>
    </row>
    <row r="6" spans="1:21" x14ac:dyDescent="0.25">
      <c r="A6" s="16" t="s">
        <v>92</v>
      </c>
      <c r="B6" s="16" t="s">
        <v>93</v>
      </c>
      <c r="C6" s="16" t="s">
        <v>93</v>
      </c>
      <c r="D6" s="16" t="s">
        <v>93</v>
      </c>
      <c r="E6" s="16" t="s">
        <v>153</v>
      </c>
      <c r="F6" s="16" t="s">
        <v>0</v>
      </c>
      <c r="G6" t="s">
        <v>95</v>
      </c>
      <c r="H6" s="17" t="s">
        <v>193</v>
      </c>
      <c r="I6" s="17" t="s">
        <v>400</v>
      </c>
      <c r="J6" s="18">
        <v>46092</v>
      </c>
      <c r="K6" s="19">
        <v>10</v>
      </c>
      <c r="L6" s="20">
        <v>50.35</v>
      </c>
      <c r="M6" s="21">
        <v>1</v>
      </c>
      <c r="N6" s="22">
        <v>503.5</v>
      </c>
      <c r="O6" s="21">
        <v>0.03</v>
      </c>
      <c r="P6" s="22">
        <f t="shared" si="0"/>
        <v>15.104999999999999</v>
      </c>
      <c r="Q6" s="16" t="s">
        <v>156</v>
      </c>
      <c r="S6" s="23" t="s">
        <v>2</v>
      </c>
      <c r="T6" s="24">
        <v>9677.26</v>
      </c>
      <c r="U6" s="24">
        <v>290.31779999999998</v>
      </c>
    </row>
    <row r="7" spans="1:21" x14ac:dyDescent="0.25">
      <c r="A7" s="16" t="s">
        <v>92</v>
      </c>
      <c r="B7" s="16" t="s">
        <v>93</v>
      </c>
      <c r="C7" s="16" t="s">
        <v>93</v>
      </c>
      <c r="D7" s="16" t="s">
        <v>93</v>
      </c>
      <c r="E7" s="16" t="s">
        <v>94</v>
      </c>
      <c r="F7" s="16" t="s">
        <v>1</v>
      </c>
      <c r="G7" t="s">
        <v>110</v>
      </c>
      <c r="H7" s="17" t="s">
        <v>111</v>
      </c>
      <c r="I7" s="17" t="s">
        <v>401</v>
      </c>
      <c r="J7" s="18">
        <v>46107</v>
      </c>
      <c r="K7" s="19">
        <v>8</v>
      </c>
      <c r="L7" s="20">
        <v>30.28</v>
      </c>
      <c r="M7" s="21">
        <v>1</v>
      </c>
      <c r="N7" s="22">
        <v>242.24</v>
      </c>
      <c r="O7" s="21">
        <v>0.03</v>
      </c>
      <c r="P7" s="22">
        <f t="shared" si="0"/>
        <v>7.2671999999999999</v>
      </c>
      <c r="Q7" s="16" t="s">
        <v>98</v>
      </c>
      <c r="S7" s="23" t="s">
        <v>38</v>
      </c>
      <c r="T7" s="24">
        <v>5592.96</v>
      </c>
      <c r="U7" s="24">
        <v>167.78880000000001</v>
      </c>
    </row>
    <row r="8" spans="1:21" x14ac:dyDescent="0.25">
      <c r="A8" s="16" t="s">
        <v>92</v>
      </c>
      <c r="B8" s="16" t="s">
        <v>93</v>
      </c>
      <c r="C8" s="16" t="s">
        <v>93</v>
      </c>
      <c r="D8" s="16" t="s">
        <v>93</v>
      </c>
      <c r="E8" s="16" t="s">
        <v>94</v>
      </c>
      <c r="F8" s="16" t="s">
        <v>1</v>
      </c>
      <c r="G8" t="s">
        <v>110</v>
      </c>
      <c r="H8" s="17" t="s">
        <v>124</v>
      </c>
      <c r="I8" s="17" t="s">
        <v>402</v>
      </c>
      <c r="J8" s="18">
        <v>46107</v>
      </c>
      <c r="K8" s="19">
        <v>8</v>
      </c>
      <c r="L8" s="20">
        <v>41.64</v>
      </c>
      <c r="M8" s="21">
        <v>1</v>
      </c>
      <c r="N8" s="22">
        <v>333.12</v>
      </c>
      <c r="O8" s="21">
        <v>0.03</v>
      </c>
      <c r="P8" s="22">
        <f t="shared" si="0"/>
        <v>9.9935999999999989</v>
      </c>
      <c r="Q8" s="16" t="s">
        <v>101</v>
      </c>
      <c r="S8" s="23" t="s">
        <v>7</v>
      </c>
      <c r="T8" s="24">
        <v>4039.68</v>
      </c>
      <c r="U8" s="24">
        <v>121.1904</v>
      </c>
    </row>
    <row r="9" spans="1:21" x14ac:dyDescent="0.25">
      <c r="A9" s="16" t="s">
        <v>92</v>
      </c>
      <c r="B9" s="16" t="s">
        <v>93</v>
      </c>
      <c r="C9" s="16" t="s">
        <v>93</v>
      </c>
      <c r="D9" s="16" t="s">
        <v>93</v>
      </c>
      <c r="E9" s="16" t="s">
        <v>94</v>
      </c>
      <c r="F9" s="16" t="s">
        <v>1</v>
      </c>
      <c r="G9" t="s">
        <v>110</v>
      </c>
      <c r="H9" s="17" t="s">
        <v>132</v>
      </c>
      <c r="I9" s="17" t="s">
        <v>402</v>
      </c>
      <c r="J9" s="18">
        <v>46107</v>
      </c>
      <c r="K9" s="19">
        <v>24</v>
      </c>
      <c r="L9" s="20">
        <v>41.64</v>
      </c>
      <c r="M9" s="21">
        <v>1</v>
      </c>
      <c r="N9" s="22">
        <v>999.36</v>
      </c>
      <c r="O9" s="21">
        <v>0.03</v>
      </c>
      <c r="P9" s="22">
        <f t="shared" si="0"/>
        <v>29.980799999999999</v>
      </c>
      <c r="Q9" s="16" t="s">
        <v>101</v>
      </c>
      <c r="S9" s="23" t="s">
        <v>8</v>
      </c>
      <c r="T9" s="24">
        <v>2574.04</v>
      </c>
      <c r="U9" s="24">
        <v>77.221199999999996</v>
      </c>
    </row>
    <row r="10" spans="1:21" x14ac:dyDescent="0.25">
      <c r="A10" s="16" t="s">
        <v>92</v>
      </c>
      <c r="B10" s="16" t="s">
        <v>93</v>
      </c>
      <c r="C10" s="16" t="s">
        <v>93</v>
      </c>
      <c r="D10" s="16" t="s">
        <v>93</v>
      </c>
      <c r="E10" s="16" t="s">
        <v>94</v>
      </c>
      <c r="F10" s="16" t="s">
        <v>1</v>
      </c>
      <c r="G10" t="s">
        <v>110</v>
      </c>
      <c r="H10" s="17" t="s">
        <v>403</v>
      </c>
      <c r="I10" s="17" t="s">
        <v>402</v>
      </c>
      <c r="J10" s="18">
        <v>46107</v>
      </c>
      <c r="K10" s="19">
        <v>6</v>
      </c>
      <c r="L10" s="20">
        <v>41.64</v>
      </c>
      <c r="M10" s="21">
        <v>1</v>
      </c>
      <c r="N10" s="22">
        <v>249.84</v>
      </c>
      <c r="O10" s="21">
        <v>0.03</v>
      </c>
      <c r="P10" s="22">
        <f t="shared" si="0"/>
        <v>7.4951999999999996</v>
      </c>
      <c r="Q10" s="16" t="s">
        <v>101</v>
      </c>
      <c r="S10" s="23" t="s">
        <v>10</v>
      </c>
      <c r="T10" s="24">
        <v>8439.0999999999985</v>
      </c>
      <c r="U10" s="24">
        <v>253.173</v>
      </c>
    </row>
    <row r="11" spans="1:21" x14ac:dyDescent="0.25">
      <c r="A11" s="16" t="s">
        <v>92</v>
      </c>
      <c r="B11" s="16" t="s">
        <v>93</v>
      </c>
      <c r="C11" s="16" t="s">
        <v>93</v>
      </c>
      <c r="D11" s="16" t="s">
        <v>93</v>
      </c>
      <c r="E11" s="16" t="s">
        <v>94</v>
      </c>
      <c r="F11" s="16" t="s">
        <v>1</v>
      </c>
      <c r="G11" t="s">
        <v>110</v>
      </c>
      <c r="H11" s="17" t="s">
        <v>403</v>
      </c>
      <c r="I11" s="17" t="s">
        <v>404</v>
      </c>
      <c r="J11" s="18">
        <v>46112</v>
      </c>
      <c r="K11" s="19">
        <v>6</v>
      </c>
      <c r="L11" s="20">
        <v>41.64</v>
      </c>
      <c r="M11" s="21">
        <v>1</v>
      </c>
      <c r="N11" s="22">
        <v>249.84</v>
      </c>
      <c r="O11" s="21">
        <v>0.03</v>
      </c>
      <c r="P11" s="22">
        <f t="shared" si="0"/>
        <v>7.4951999999999996</v>
      </c>
      <c r="Q11" s="16" t="s">
        <v>101</v>
      </c>
      <c r="S11" s="23" t="s">
        <v>12</v>
      </c>
      <c r="T11" s="24">
        <v>14386</v>
      </c>
      <c r="U11" s="24">
        <v>431.58</v>
      </c>
    </row>
    <row r="12" spans="1:21" x14ac:dyDescent="0.25">
      <c r="A12" s="16" t="s">
        <v>92</v>
      </c>
      <c r="B12" s="16" t="s">
        <v>93</v>
      </c>
      <c r="C12" s="16" t="s">
        <v>93</v>
      </c>
      <c r="D12" s="16" t="s">
        <v>93</v>
      </c>
      <c r="E12" s="16" t="s">
        <v>94</v>
      </c>
      <c r="F12" s="16" t="s">
        <v>1</v>
      </c>
      <c r="G12" t="s">
        <v>110</v>
      </c>
      <c r="H12" s="17" t="s">
        <v>132</v>
      </c>
      <c r="I12" s="17" t="s">
        <v>405</v>
      </c>
      <c r="J12" s="18">
        <v>46087</v>
      </c>
      <c r="K12" s="19">
        <v>24</v>
      </c>
      <c r="L12" s="20">
        <v>41.64</v>
      </c>
      <c r="M12" s="21">
        <v>1</v>
      </c>
      <c r="N12" s="22">
        <v>999.36</v>
      </c>
      <c r="O12" s="21">
        <v>0.03</v>
      </c>
      <c r="P12" s="22">
        <f t="shared" si="0"/>
        <v>29.980799999999999</v>
      </c>
      <c r="Q12" s="16" t="s">
        <v>101</v>
      </c>
      <c r="S12" s="23" t="s">
        <v>42</v>
      </c>
      <c r="T12" s="24">
        <v>720</v>
      </c>
      <c r="U12" s="24">
        <v>21.599999999999998</v>
      </c>
    </row>
    <row r="13" spans="1:21" x14ac:dyDescent="0.25">
      <c r="A13" s="16" t="s">
        <v>92</v>
      </c>
      <c r="B13" s="16" t="s">
        <v>93</v>
      </c>
      <c r="C13" s="16" t="s">
        <v>93</v>
      </c>
      <c r="D13" s="16" t="s">
        <v>93</v>
      </c>
      <c r="E13" s="16" t="s">
        <v>115</v>
      </c>
      <c r="F13" s="16" t="s">
        <v>1</v>
      </c>
      <c r="G13" t="s">
        <v>110</v>
      </c>
      <c r="H13" s="17" t="s">
        <v>119</v>
      </c>
      <c r="I13" s="17" t="s">
        <v>406</v>
      </c>
      <c r="J13" s="18">
        <v>46107</v>
      </c>
      <c r="K13" s="19">
        <v>1</v>
      </c>
      <c r="L13" s="20">
        <v>286.64999999999998</v>
      </c>
      <c r="M13" s="21">
        <v>1</v>
      </c>
      <c r="N13" s="22">
        <v>286.64999999999998</v>
      </c>
      <c r="O13" s="21">
        <v>0.03</v>
      </c>
      <c r="P13" s="22">
        <f t="shared" si="0"/>
        <v>8.599499999999999</v>
      </c>
      <c r="Q13" s="16" t="s">
        <v>121</v>
      </c>
      <c r="S13" s="23" t="s">
        <v>13</v>
      </c>
      <c r="T13" s="24">
        <v>7757.1399999999994</v>
      </c>
      <c r="U13" s="24">
        <v>232.71420000000001</v>
      </c>
    </row>
    <row r="14" spans="1:21" x14ac:dyDescent="0.25">
      <c r="A14" s="16" t="s">
        <v>92</v>
      </c>
      <c r="B14" s="16" t="s">
        <v>93</v>
      </c>
      <c r="C14" s="16" t="s">
        <v>93</v>
      </c>
      <c r="D14" s="16" t="s">
        <v>93</v>
      </c>
      <c r="E14" s="16" t="s">
        <v>115</v>
      </c>
      <c r="F14" s="16" t="s">
        <v>1</v>
      </c>
      <c r="G14" t="s">
        <v>110</v>
      </c>
      <c r="H14" s="17" t="s">
        <v>144</v>
      </c>
      <c r="I14" s="17" t="s">
        <v>407</v>
      </c>
      <c r="J14" s="18">
        <v>46094</v>
      </c>
      <c r="K14" s="19">
        <v>5</v>
      </c>
      <c r="L14" s="20">
        <v>286.64999999999998</v>
      </c>
      <c r="M14" s="21">
        <v>1</v>
      </c>
      <c r="N14" s="22">
        <v>1433.25</v>
      </c>
      <c r="O14" s="21">
        <v>0.03</v>
      </c>
      <c r="P14" s="22">
        <f t="shared" si="0"/>
        <v>42.997499999999995</v>
      </c>
      <c r="Q14" s="16" t="s">
        <v>121</v>
      </c>
      <c r="S14" s="23" t="s">
        <v>14</v>
      </c>
      <c r="T14" s="24">
        <v>488.04</v>
      </c>
      <c r="U14" s="24">
        <v>14.6412</v>
      </c>
    </row>
    <row r="15" spans="1:21" x14ac:dyDescent="0.25">
      <c r="A15" s="16" t="s">
        <v>92</v>
      </c>
      <c r="B15" s="16" t="s">
        <v>93</v>
      </c>
      <c r="C15" s="16" t="s">
        <v>93</v>
      </c>
      <c r="D15" s="16" t="s">
        <v>93</v>
      </c>
      <c r="E15" s="16" t="s">
        <v>115</v>
      </c>
      <c r="F15" s="16" t="s">
        <v>1</v>
      </c>
      <c r="G15" t="s">
        <v>110</v>
      </c>
      <c r="H15" s="17" t="s">
        <v>119</v>
      </c>
      <c r="I15" s="17" t="s">
        <v>408</v>
      </c>
      <c r="J15" s="18">
        <v>46087</v>
      </c>
      <c r="K15" s="19">
        <v>10</v>
      </c>
      <c r="L15" s="20">
        <v>286.64999999999998</v>
      </c>
      <c r="M15" s="21">
        <v>1</v>
      </c>
      <c r="N15" s="22">
        <v>2866.5</v>
      </c>
      <c r="O15" s="21">
        <v>0.03</v>
      </c>
      <c r="P15" s="22">
        <f t="shared" si="0"/>
        <v>85.99499999999999</v>
      </c>
      <c r="Q15" s="16" t="s">
        <v>121</v>
      </c>
      <c r="S15" s="23" t="s">
        <v>61</v>
      </c>
      <c r="T15" s="24">
        <v>3791.1145999999999</v>
      </c>
      <c r="U15" s="24">
        <v>113.73343800000001</v>
      </c>
    </row>
    <row r="16" spans="1:21" x14ac:dyDescent="0.25">
      <c r="A16" s="16" t="s">
        <v>92</v>
      </c>
      <c r="B16" s="16" t="s">
        <v>93</v>
      </c>
      <c r="C16" s="16" t="s">
        <v>93</v>
      </c>
      <c r="D16" s="16" t="s">
        <v>93</v>
      </c>
      <c r="E16" s="16" t="s">
        <v>115</v>
      </c>
      <c r="F16" s="16" t="s">
        <v>1</v>
      </c>
      <c r="G16" t="s">
        <v>110</v>
      </c>
      <c r="H16" s="17" t="s">
        <v>116</v>
      </c>
      <c r="I16" s="17" t="s">
        <v>405</v>
      </c>
      <c r="J16" s="18">
        <v>46087</v>
      </c>
      <c r="K16" s="19">
        <v>10</v>
      </c>
      <c r="L16" s="20">
        <v>133.31</v>
      </c>
      <c r="M16" s="21">
        <v>1</v>
      </c>
      <c r="N16" s="22">
        <v>1333.1</v>
      </c>
      <c r="O16" s="21">
        <v>0.03</v>
      </c>
      <c r="P16" s="22">
        <f t="shared" si="0"/>
        <v>39.992999999999995</v>
      </c>
      <c r="Q16" s="16" t="s">
        <v>121</v>
      </c>
      <c r="S16" s="23" t="s">
        <v>15</v>
      </c>
      <c r="T16" s="24">
        <v>1070.5999999999999</v>
      </c>
      <c r="U16" s="24">
        <v>32.117999999999995</v>
      </c>
    </row>
    <row r="17" spans="1:21" x14ac:dyDescent="0.25">
      <c r="A17" s="16" t="s">
        <v>92</v>
      </c>
      <c r="B17" s="16" t="s">
        <v>93</v>
      </c>
      <c r="C17" s="16" t="s">
        <v>93</v>
      </c>
      <c r="D17" s="16" t="s">
        <v>93</v>
      </c>
      <c r="E17" s="16" t="s">
        <v>115</v>
      </c>
      <c r="F17" s="16" t="s">
        <v>1</v>
      </c>
      <c r="G17" t="s">
        <v>110</v>
      </c>
      <c r="H17" s="17" t="s">
        <v>116</v>
      </c>
      <c r="I17" s="17" t="s">
        <v>409</v>
      </c>
      <c r="J17" s="18">
        <v>46101</v>
      </c>
      <c r="K17" s="19">
        <v>10</v>
      </c>
      <c r="L17" s="20">
        <v>133.31</v>
      </c>
      <c r="M17" s="21">
        <v>1</v>
      </c>
      <c r="N17" s="22">
        <v>1333.1</v>
      </c>
      <c r="O17" s="21">
        <v>0.03</v>
      </c>
      <c r="P17" s="22">
        <f t="shared" si="0"/>
        <v>39.992999999999995</v>
      </c>
      <c r="Q17" s="16" t="s">
        <v>121</v>
      </c>
      <c r="S17" s="23" t="s">
        <v>71</v>
      </c>
      <c r="T17" s="24">
        <v>2668</v>
      </c>
      <c r="U17" s="24">
        <v>80.039999999999992</v>
      </c>
    </row>
    <row r="18" spans="1:21" x14ac:dyDescent="0.25">
      <c r="A18" s="16" t="s">
        <v>92</v>
      </c>
      <c r="B18" s="16" t="s">
        <v>93</v>
      </c>
      <c r="C18" s="16" t="s">
        <v>93</v>
      </c>
      <c r="D18" s="16" t="s">
        <v>93</v>
      </c>
      <c r="E18" s="16" t="s">
        <v>115</v>
      </c>
      <c r="F18" s="16" t="s">
        <v>1</v>
      </c>
      <c r="G18" t="s">
        <v>110</v>
      </c>
      <c r="H18" s="17" t="s">
        <v>116</v>
      </c>
      <c r="I18" s="17" t="s">
        <v>410</v>
      </c>
      <c r="J18" s="18">
        <v>46107</v>
      </c>
      <c r="K18" s="19">
        <v>10</v>
      </c>
      <c r="L18" s="20">
        <v>133.31</v>
      </c>
      <c r="M18" s="21">
        <v>1</v>
      </c>
      <c r="N18" s="22">
        <v>1333.1</v>
      </c>
      <c r="O18" s="21">
        <v>0.03</v>
      </c>
      <c r="P18" s="22">
        <f t="shared" si="0"/>
        <v>39.992999999999995</v>
      </c>
      <c r="Q18" s="16" t="s">
        <v>121</v>
      </c>
      <c r="S18" s="23" t="s">
        <v>16</v>
      </c>
      <c r="T18" s="24">
        <v>2807.16</v>
      </c>
      <c r="U18" s="24">
        <v>84.214799999999997</v>
      </c>
    </row>
    <row r="19" spans="1:21" x14ac:dyDescent="0.25">
      <c r="A19" s="16" t="s">
        <v>92</v>
      </c>
      <c r="B19" s="16" t="s">
        <v>93</v>
      </c>
      <c r="C19" s="16" t="s">
        <v>93</v>
      </c>
      <c r="D19" s="16" t="s">
        <v>93</v>
      </c>
      <c r="E19" s="16" t="s">
        <v>115</v>
      </c>
      <c r="F19" s="16" t="s">
        <v>1</v>
      </c>
      <c r="G19" t="s">
        <v>110</v>
      </c>
      <c r="H19" s="17" t="s">
        <v>119</v>
      </c>
      <c r="I19" s="17" t="s">
        <v>410</v>
      </c>
      <c r="J19" s="18">
        <v>46107</v>
      </c>
      <c r="K19" s="19">
        <v>10</v>
      </c>
      <c r="L19" s="20">
        <v>286.64999999999998</v>
      </c>
      <c r="M19" s="21">
        <v>1</v>
      </c>
      <c r="N19" s="22">
        <v>2866.5</v>
      </c>
      <c r="O19" s="21">
        <v>0.03</v>
      </c>
      <c r="P19" s="22">
        <f t="shared" si="0"/>
        <v>85.99499999999999</v>
      </c>
      <c r="Q19" s="16" t="s">
        <v>121</v>
      </c>
      <c r="S19" s="23" t="s">
        <v>19</v>
      </c>
      <c r="T19" s="24">
        <v>70620.310000000027</v>
      </c>
      <c r="U19" s="24">
        <v>706.20310000000006</v>
      </c>
    </row>
    <row r="20" spans="1:21" x14ac:dyDescent="0.25">
      <c r="A20" s="16" t="s">
        <v>92</v>
      </c>
      <c r="B20" s="16" t="s">
        <v>93</v>
      </c>
      <c r="C20" s="16" t="s">
        <v>93</v>
      </c>
      <c r="D20" s="16" t="s">
        <v>93</v>
      </c>
      <c r="E20" s="16" t="s">
        <v>94</v>
      </c>
      <c r="F20" s="16" t="s">
        <v>1</v>
      </c>
      <c r="G20" t="s">
        <v>110</v>
      </c>
      <c r="H20" s="17" t="s">
        <v>111</v>
      </c>
      <c r="I20" s="17" t="s">
        <v>408</v>
      </c>
      <c r="J20" s="18">
        <v>46087</v>
      </c>
      <c r="K20" s="19">
        <v>8</v>
      </c>
      <c r="L20" s="20">
        <v>30.28</v>
      </c>
      <c r="M20" s="21">
        <v>1</v>
      </c>
      <c r="N20" s="22">
        <v>242.24</v>
      </c>
      <c r="O20" s="21">
        <v>0.03</v>
      </c>
      <c r="P20" s="22">
        <f t="shared" si="0"/>
        <v>7.2671999999999999</v>
      </c>
      <c r="Q20" s="16" t="s">
        <v>98</v>
      </c>
      <c r="S20" s="23" t="s">
        <v>72</v>
      </c>
      <c r="T20" s="24">
        <v>19514.05</v>
      </c>
      <c r="U20" s="24">
        <v>585.42149999999992</v>
      </c>
    </row>
    <row r="21" spans="1:21" x14ac:dyDescent="0.25">
      <c r="A21" s="16" t="s">
        <v>92</v>
      </c>
      <c r="B21" s="16" t="s">
        <v>93</v>
      </c>
      <c r="C21" s="16" t="s">
        <v>93</v>
      </c>
      <c r="D21" s="16" t="s">
        <v>93</v>
      </c>
      <c r="E21" s="16" t="s">
        <v>94</v>
      </c>
      <c r="F21" s="16" t="s">
        <v>1</v>
      </c>
      <c r="G21" t="s">
        <v>110</v>
      </c>
      <c r="H21" s="17" t="s">
        <v>124</v>
      </c>
      <c r="I21" s="17" t="s">
        <v>409</v>
      </c>
      <c r="J21" s="18">
        <v>46101</v>
      </c>
      <c r="K21" s="19">
        <v>4</v>
      </c>
      <c r="L21" s="20">
        <v>41.64</v>
      </c>
      <c r="M21" s="21">
        <v>1</v>
      </c>
      <c r="N21" s="22">
        <v>166.56</v>
      </c>
      <c r="O21" s="21">
        <v>0.03</v>
      </c>
      <c r="P21" s="22">
        <f t="shared" si="0"/>
        <v>4.9967999999999995</v>
      </c>
      <c r="Q21" s="16" t="s">
        <v>101</v>
      </c>
      <c r="S21" s="23" t="s">
        <v>52</v>
      </c>
      <c r="T21" s="24">
        <v>759.44219999999996</v>
      </c>
      <c r="U21" s="24">
        <v>22.783265999999998</v>
      </c>
    </row>
    <row r="22" spans="1:21" x14ac:dyDescent="0.25">
      <c r="A22" s="16" t="s">
        <v>92</v>
      </c>
      <c r="B22" s="16" t="s">
        <v>93</v>
      </c>
      <c r="C22" s="16" t="s">
        <v>93</v>
      </c>
      <c r="D22" s="16" t="s">
        <v>93</v>
      </c>
      <c r="E22" s="16" t="s">
        <v>94</v>
      </c>
      <c r="F22" s="16" t="s">
        <v>1</v>
      </c>
      <c r="G22" t="s">
        <v>110</v>
      </c>
      <c r="H22" s="17" t="s">
        <v>132</v>
      </c>
      <c r="I22" s="17" t="s">
        <v>409</v>
      </c>
      <c r="J22" s="18">
        <v>46101</v>
      </c>
      <c r="K22" s="19">
        <v>30</v>
      </c>
      <c r="L22" s="20">
        <v>41.64</v>
      </c>
      <c r="M22" s="21">
        <v>1</v>
      </c>
      <c r="N22" s="22">
        <v>1249.2</v>
      </c>
      <c r="O22" s="21">
        <v>0.03</v>
      </c>
      <c r="P22" s="22">
        <f t="shared" si="0"/>
        <v>37.475999999999999</v>
      </c>
      <c r="Q22" s="16" t="s">
        <v>101</v>
      </c>
      <c r="S22" s="23" t="s">
        <v>143</v>
      </c>
      <c r="T22" s="24">
        <v>178816.76680000001</v>
      </c>
      <c r="U22" s="24">
        <v>3952.0968040000002</v>
      </c>
    </row>
    <row r="23" spans="1:21" x14ac:dyDescent="0.25">
      <c r="A23" s="16" t="s">
        <v>92</v>
      </c>
      <c r="B23" s="16" t="s">
        <v>93</v>
      </c>
      <c r="C23" s="16" t="s">
        <v>93</v>
      </c>
      <c r="D23" s="16" t="s">
        <v>93</v>
      </c>
      <c r="E23" s="16" t="s">
        <v>94</v>
      </c>
      <c r="F23" s="16" t="s">
        <v>1</v>
      </c>
      <c r="G23" t="s">
        <v>110</v>
      </c>
      <c r="H23" s="17" t="s">
        <v>139</v>
      </c>
      <c r="I23" s="17" t="s">
        <v>410</v>
      </c>
      <c r="J23" s="18">
        <v>46107</v>
      </c>
      <c r="K23" s="19">
        <v>5</v>
      </c>
      <c r="L23" s="20">
        <v>41.64</v>
      </c>
      <c r="M23" s="21">
        <v>1</v>
      </c>
      <c r="N23" s="22">
        <v>208.2</v>
      </c>
      <c r="O23" s="21">
        <v>0.03</v>
      </c>
      <c r="P23" s="22">
        <f t="shared" si="0"/>
        <v>6.2459999999999996</v>
      </c>
      <c r="Q23" s="16" t="s">
        <v>101</v>
      </c>
    </row>
    <row r="24" spans="1:21" x14ac:dyDescent="0.25">
      <c r="A24" s="16" t="s">
        <v>92</v>
      </c>
      <c r="B24" s="16" t="s">
        <v>93</v>
      </c>
      <c r="C24" s="16" t="s">
        <v>93</v>
      </c>
      <c r="D24" s="16" t="s">
        <v>93</v>
      </c>
      <c r="E24" s="16" t="s">
        <v>115</v>
      </c>
      <c r="F24" s="16" t="s">
        <v>1</v>
      </c>
      <c r="G24" t="s">
        <v>110</v>
      </c>
      <c r="H24" s="17" t="s">
        <v>130</v>
      </c>
      <c r="I24" s="17" t="s">
        <v>411</v>
      </c>
      <c r="J24" s="18">
        <v>46107</v>
      </c>
      <c r="K24" s="19">
        <v>882</v>
      </c>
      <c r="L24" s="20">
        <v>5.6821000000000002</v>
      </c>
      <c r="M24" s="21">
        <v>1</v>
      </c>
      <c r="N24" s="22">
        <v>5011.6099999999997</v>
      </c>
      <c r="O24" s="21">
        <v>0.03</v>
      </c>
      <c r="P24" s="22">
        <f t="shared" si="0"/>
        <v>150.34829999999999</v>
      </c>
      <c r="Q24" s="16" t="s">
        <v>129</v>
      </c>
    </row>
    <row r="25" spans="1:21" x14ac:dyDescent="0.25">
      <c r="A25" s="16" t="s">
        <v>92</v>
      </c>
      <c r="B25" s="16" t="s">
        <v>93</v>
      </c>
      <c r="C25" s="16" t="s">
        <v>93</v>
      </c>
      <c r="D25" s="16" t="s">
        <v>93</v>
      </c>
      <c r="E25" s="16" t="s">
        <v>94</v>
      </c>
      <c r="F25" s="16" t="s">
        <v>2</v>
      </c>
      <c r="G25" t="s">
        <v>149</v>
      </c>
      <c r="H25" s="17" t="s">
        <v>412</v>
      </c>
      <c r="I25" s="17" t="s">
        <v>413</v>
      </c>
      <c r="J25" s="18">
        <v>46086</v>
      </c>
      <c r="K25" s="19">
        <v>5</v>
      </c>
      <c r="L25" s="20">
        <v>188.5</v>
      </c>
      <c r="M25" s="21">
        <v>1</v>
      </c>
      <c r="N25" s="22">
        <v>942.5</v>
      </c>
      <c r="O25" s="21">
        <v>0.03</v>
      </c>
      <c r="P25" s="22">
        <f t="shared" si="0"/>
        <v>28.274999999999999</v>
      </c>
      <c r="Q25" s="16" t="s">
        <v>98</v>
      </c>
    </row>
    <row r="26" spans="1:21" x14ac:dyDescent="0.25">
      <c r="A26" s="16" t="s">
        <v>92</v>
      </c>
      <c r="B26" s="16" t="s">
        <v>93</v>
      </c>
      <c r="C26" s="16" t="s">
        <v>93</v>
      </c>
      <c r="D26" s="16" t="s">
        <v>93</v>
      </c>
      <c r="E26" s="16" t="s">
        <v>115</v>
      </c>
      <c r="F26" s="16" t="s">
        <v>2</v>
      </c>
      <c r="G26" t="s">
        <v>149</v>
      </c>
      <c r="H26" s="17" t="s">
        <v>219</v>
      </c>
      <c r="I26" s="17" t="s">
        <v>414</v>
      </c>
      <c r="J26" s="18">
        <v>46104</v>
      </c>
      <c r="K26" s="19">
        <v>100</v>
      </c>
      <c r="L26" s="20">
        <v>69.53</v>
      </c>
      <c r="M26" s="21">
        <v>1</v>
      </c>
      <c r="N26" s="22">
        <v>6953</v>
      </c>
      <c r="O26" s="21">
        <v>0.03</v>
      </c>
      <c r="P26" s="22">
        <f t="shared" si="0"/>
        <v>208.59</v>
      </c>
      <c r="Q26" s="16" t="s">
        <v>129</v>
      </c>
    </row>
    <row r="27" spans="1:21" x14ac:dyDescent="0.25">
      <c r="A27" s="16" t="s">
        <v>92</v>
      </c>
      <c r="B27" s="16" t="s">
        <v>93</v>
      </c>
      <c r="C27" s="16" t="s">
        <v>93</v>
      </c>
      <c r="D27" s="16" t="s">
        <v>93</v>
      </c>
      <c r="E27" s="16" t="s">
        <v>94</v>
      </c>
      <c r="F27" s="16" t="s">
        <v>2</v>
      </c>
      <c r="G27" t="s">
        <v>149</v>
      </c>
      <c r="H27" s="17" t="s">
        <v>415</v>
      </c>
      <c r="I27" s="17" t="s">
        <v>416</v>
      </c>
      <c r="J27" s="18">
        <v>46104</v>
      </c>
      <c r="K27" s="19">
        <v>12</v>
      </c>
      <c r="L27" s="20">
        <v>43.53</v>
      </c>
      <c r="M27" s="21">
        <v>1</v>
      </c>
      <c r="N27" s="22">
        <v>522.36</v>
      </c>
      <c r="O27" s="21">
        <v>0.03</v>
      </c>
      <c r="P27" s="22">
        <f t="shared" si="0"/>
        <v>15.6708</v>
      </c>
      <c r="Q27" s="16" t="s">
        <v>101</v>
      </c>
    </row>
    <row r="28" spans="1:21" x14ac:dyDescent="0.25">
      <c r="A28" s="16" t="s">
        <v>92</v>
      </c>
      <c r="B28" s="16" t="s">
        <v>93</v>
      </c>
      <c r="C28" s="16" t="s">
        <v>93</v>
      </c>
      <c r="D28" s="16" t="s">
        <v>93</v>
      </c>
      <c r="E28" s="16" t="s">
        <v>94</v>
      </c>
      <c r="F28" s="16" t="s">
        <v>2</v>
      </c>
      <c r="G28" t="s">
        <v>149</v>
      </c>
      <c r="H28" s="17" t="s">
        <v>150</v>
      </c>
      <c r="I28" s="17" t="s">
        <v>417</v>
      </c>
      <c r="J28" s="18">
        <v>46097</v>
      </c>
      <c r="K28" s="19">
        <v>18</v>
      </c>
      <c r="L28" s="20">
        <v>41.98</v>
      </c>
      <c r="M28" s="21">
        <v>1</v>
      </c>
      <c r="N28" s="22">
        <v>755.64</v>
      </c>
      <c r="O28" s="21">
        <v>0.03</v>
      </c>
      <c r="P28" s="22">
        <f t="shared" si="0"/>
        <v>22.6692</v>
      </c>
      <c r="Q28" s="16" t="s">
        <v>101</v>
      </c>
    </row>
    <row r="29" spans="1:21" x14ac:dyDescent="0.25">
      <c r="A29" s="16" t="s">
        <v>92</v>
      </c>
      <c r="B29" s="16" t="s">
        <v>93</v>
      </c>
      <c r="C29" s="16" t="s">
        <v>93</v>
      </c>
      <c r="D29" s="16" t="s">
        <v>93</v>
      </c>
      <c r="E29" s="16" t="s">
        <v>94</v>
      </c>
      <c r="F29" s="16" t="s">
        <v>2</v>
      </c>
      <c r="G29" t="s">
        <v>149</v>
      </c>
      <c r="H29" s="17" t="s">
        <v>328</v>
      </c>
      <c r="I29" s="17" t="s">
        <v>418</v>
      </c>
      <c r="J29" s="18">
        <v>46083</v>
      </c>
      <c r="K29" s="19">
        <v>12</v>
      </c>
      <c r="L29" s="20">
        <v>41.98</v>
      </c>
      <c r="M29" s="21">
        <v>1</v>
      </c>
      <c r="N29" s="22">
        <v>503.76</v>
      </c>
      <c r="O29" s="21">
        <v>0.03</v>
      </c>
      <c r="P29" s="22">
        <f t="shared" si="0"/>
        <v>15.1128</v>
      </c>
      <c r="Q29" s="16" t="s">
        <v>101</v>
      </c>
    </row>
    <row r="30" spans="1:21" x14ac:dyDescent="0.25">
      <c r="A30" s="16" t="s">
        <v>92</v>
      </c>
      <c r="B30" s="16" t="s">
        <v>93</v>
      </c>
      <c r="C30" s="16" t="s">
        <v>93</v>
      </c>
      <c r="D30" s="16" t="s">
        <v>93</v>
      </c>
      <c r="E30" s="16" t="s">
        <v>94</v>
      </c>
      <c r="F30" s="16" t="s">
        <v>38</v>
      </c>
      <c r="G30" t="s">
        <v>419</v>
      </c>
      <c r="H30" s="17" t="s">
        <v>420</v>
      </c>
      <c r="I30" s="17" t="s">
        <v>421</v>
      </c>
      <c r="J30" s="18">
        <v>46097</v>
      </c>
      <c r="K30" s="19">
        <v>12</v>
      </c>
      <c r="L30" s="20">
        <v>32.18</v>
      </c>
      <c r="M30" s="21">
        <v>1</v>
      </c>
      <c r="N30" s="22">
        <v>386.16</v>
      </c>
      <c r="O30" s="21">
        <v>0.03</v>
      </c>
      <c r="P30" s="22">
        <f t="shared" si="0"/>
        <v>11.5848</v>
      </c>
      <c r="Q30" s="16" t="s">
        <v>98</v>
      </c>
    </row>
    <row r="31" spans="1:21" x14ac:dyDescent="0.25">
      <c r="A31" s="16" t="s">
        <v>92</v>
      </c>
      <c r="B31" s="16" t="s">
        <v>93</v>
      </c>
      <c r="C31" s="16" t="s">
        <v>93</v>
      </c>
      <c r="D31" s="16" t="s">
        <v>93</v>
      </c>
      <c r="E31" s="16" t="s">
        <v>94</v>
      </c>
      <c r="F31" s="16" t="s">
        <v>38</v>
      </c>
      <c r="G31" t="s">
        <v>419</v>
      </c>
      <c r="H31" s="17" t="s">
        <v>422</v>
      </c>
      <c r="I31" s="17" t="s">
        <v>421</v>
      </c>
      <c r="J31" s="18">
        <v>46097</v>
      </c>
      <c r="K31" s="19">
        <v>120</v>
      </c>
      <c r="L31" s="20">
        <v>43.39</v>
      </c>
      <c r="M31" s="21">
        <v>1</v>
      </c>
      <c r="N31" s="22">
        <v>5206.8</v>
      </c>
      <c r="O31" s="21">
        <v>0.03</v>
      </c>
      <c r="P31" s="22">
        <f t="shared" si="0"/>
        <v>156.20400000000001</v>
      </c>
      <c r="Q31" s="16" t="s">
        <v>101</v>
      </c>
    </row>
    <row r="32" spans="1:21" x14ac:dyDescent="0.25">
      <c r="A32" s="16" t="s">
        <v>92</v>
      </c>
      <c r="B32" s="16" t="s">
        <v>93</v>
      </c>
      <c r="C32" s="16" t="s">
        <v>93</v>
      </c>
      <c r="D32" s="16" t="s">
        <v>93</v>
      </c>
      <c r="E32" s="16" t="s">
        <v>94</v>
      </c>
      <c r="F32" s="16" t="s">
        <v>7</v>
      </c>
      <c r="G32" t="s">
        <v>336</v>
      </c>
      <c r="H32" s="17" t="s">
        <v>423</v>
      </c>
      <c r="I32" s="17" t="s">
        <v>424</v>
      </c>
      <c r="J32" s="18">
        <v>46090</v>
      </c>
      <c r="K32" s="19">
        <v>96</v>
      </c>
      <c r="L32" s="20">
        <v>42.08</v>
      </c>
      <c r="M32" s="21">
        <v>1</v>
      </c>
      <c r="N32" s="22">
        <v>4039.68</v>
      </c>
      <c r="O32" s="21">
        <v>0.03</v>
      </c>
      <c r="P32" s="22">
        <f t="shared" si="0"/>
        <v>121.1904</v>
      </c>
      <c r="Q32" s="16" t="s">
        <v>101</v>
      </c>
    </row>
    <row r="33" spans="1:17" x14ac:dyDescent="0.25">
      <c r="A33" s="16" t="s">
        <v>92</v>
      </c>
      <c r="B33" s="16" t="s">
        <v>93</v>
      </c>
      <c r="C33" s="16" t="s">
        <v>93</v>
      </c>
      <c r="D33" s="16" t="s">
        <v>93</v>
      </c>
      <c r="E33" s="16" t="s">
        <v>115</v>
      </c>
      <c r="F33" s="16" t="s">
        <v>8</v>
      </c>
      <c r="G33" t="s">
        <v>169</v>
      </c>
      <c r="H33" s="17" t="s">
        <v>425</v>
      </c>
      <c r="I33" s="17" t="s">
        <v>426</v>
      </c>
      <c r="J33" s="18">
        <v>46108</v>
      </c>
      <c r="K33" s="19">
        <v>8</v>
      </c>
      <c r="L33" s="20">
        <v>205.88</v>
      </c>
      <c r="M33" s="21">
        <v>1</v>
      </c>
      <c r="N33" s="22">
        <v>1647.04</v>
      </c>
      <c r="O33" s="21">
        <v>0.03</v>
      </c>
      <c r="P33" s="22">
        <f t="shared" si="0"/>
        <v>49.411199999999994</v>
      </c>
      <c r="Q33" s="16" t="s">
        <v>129</v>
      </c>
    </row>
    <row r="34" spans="1:17" x14ac:dyDescent="0.25">
      <c r="A34" s="16" t="s">
        <v>92</v>
      </c>
      <c r="B34" s="16" t="s">
        <v>93</v>
      </c>
      <c r="C34" s="16" t="s">
        <v>93</v>
      </c>
      <c r="D34" s="16" t="s">
        <v>93</v>
      </c>
      <c r="E34" s="16" t="s">
        <v>115</v>
      </c>
      <c r="F34" s="16" t="s">
        <v>8</v>
      </c>
      <c r="G34" t="s">
        <v>169</v>
      </c>
      <c r="H34" s="17" t="s">
        <v>427</v>
      </c>
      <c r="I34" s="17" t="s">
        <v>426</v>
      </c>
      <c r="J34" s="18">
        <v>46108</v>
      </c>
      <c r="K34" s="19">
        <v>6</v>
      </c>
      <c r="L34" s="20">
        <v>154.5</v>
      </c>
      <c r="M34" s="21">
        <v>1</v>
      </c>
      <c r="N34" s="22">
        <v>927</v>
      </c>
      <c r="O34" s="21">
        <v>0.03</v>
      </c>
      <c r="P34" s="22">
        <f t="shared" si="0"/>
        <v>27.81</v>
      </c>
      <c r="Q34" s="16" t="s">
        <v>129</v>
      </c>
    </row>
    <row r="35" spans="1:17" x14ac:dyDescent="0.25">
      <c r="A35" s="16" t="s">
        <v>92</v>
      </c>
      <c r="B35" s="16" t="s">
        <v>93</v>
      </c>
      <c r="C35" s="16" t="s">
        <v>93</v>
      </c>
      <c r="D35" s="16" t="s">
        <v>93</v>
      </c>
      <c r="E35" s="16" t="s">
        <v>94</v>
      </c>
      <c r="F35" s="16" t="s">
        <v>10</v>
      </c>
      <c r="G35" t="s">
        <v>188</v>
      </c>
      <c r="H35" s="17" t="s">
        <v>428</v>
      </c>
      <c r="I35" s="17" t="s">
        <v>429</v>
      </c>
      <c r="J35" s="18">
        <v>46104</v>
      </c>
      <c r="K35" s="19">
        <v>10</v>
      </c>
      <c r="L35" s="20">
        <v>59.84</v>
      </c>
      <c r="M35" s="21">
        <v>1</v>
      </c>
      <c r="N35" s="22">
        <v>598.4</v>
      </c>
      <c r="O35" s="21">
        <v>0.03</v>
      </c>
      <c r="P35" s="22">
        <f t="shared" si="0"/>
        <v>17.951999999999998</v>
      </c>
      <c r="Q35" s="16" t="s">
        <v>430</v>
      </c>
    </row>
    <row r="36" spans="1:17" x14ac:dyDescent="0.25">
      <c r="A36" s="16" t="s">
        <v>92</v>
      </c>
      <c r="B36" s="16" t="s">
        <v>93</v>
      </c>
      <c r="C36" s="16" t="s">
        <v>93</v>
      </c>
      <c r="D36" s="16" t="s">
        <v>93</v>
      </c>
      <c r="E36" s="16" t="s">
        <v>160</v>
      </c>
      <c r="F36" s="16" t="s">
        <v>10</v>
      </c>
      <c r="G36" t="s">
        <v>188</v>
      </c>
      <c r="H36" s="17" t="s">
        <v>300</v>
      </c>
      <c r="I36" s="17" t="s">
        <v>431</v>
      </c>
      <c r="J36" s="18">
        <v>46092</v>
      </c>
      <c r="K36" s="19">
        <v>50</v>
      </c>
      <c r="L36" s="20">
        <v>29.410699999999999</v>
      </c>
      <c r="M36" s="21">
        <v>1</v>
      </c>
      <c r="N36" s="22">
        <v>1470.54</v>
      </c>
      <c r="O36" s="21">
        <v>0.03</v>
      </c>
      <c r="P36" s="22">
        <f t="shared" si="0"/>
        <v>44.116199999999999</v>
      </c>
      <c r="Q36" s="16" t="s">
        <v>164</v>
      </c>
    </row>
    <row r="37" spans="1:17" x14ac:dyDescent="0.25">
      <c r="A37" s="16" t="s">
        <v>92</v>
      </c>
      <c r="B37" s="16" t="s">
        <v>93</v>
      </c>
      <c r="C37" s="16" t="s">
        <v>93</v>
      </c>
      <c r="D37" s="16" t="s">
        <v>93</v>
      </c>
      <c r="E37" s="16" t="s">
        <v>202</v>
      </c>
      <c r="F37" s="16" t="s">
        <v>10</v>
      </c>
      <c r="G37" t="s">
        <v>188</v>
      </c>
      <c r="H37" s="17" t="s">
        <v>432</v>
      </c>
      <c r="I37" s="17" t="s">
        <v>433</v>
      </c>
      <c r="J37" s="18">
        <v>46104</v>
      </c>
      <c r="K37" s="19">
        <v>5</v>
      </c>
      <c r="L37" s="20">
        <v>38.520000000000003</v>
      </c>
      <c r="M37" s="21">
        <v>1</v>
      </c>
      <c r="N37" s="22">
        <v>192.61</v>
      </c>
      <c r="O37" s="21">
        <v>0.03</v>
      </c>
      <c r="P37" s="22">
        <f t="shared" si="0"/>
        <v>5.7782999999999998</v>
      </c>
      <c r="Q37" s="16" t="s">
        <v>303</v>
      </c>
    </row>
    <row r="38" spans="1:17" x14ac:dyDescent="0.25">
      <c r="A38" s="16" t="s">
        <v>92</v>
      </c>
      <c r="B38" s="16" t="s">
        <v>93</v>
      </c>
      <c r="C38" s="16" t="s">
        <v>93</v>
      </c>
      <c r="D38" s="16" t="s">
        <v>93</v>
      </c>
      <c r="E38" s="16" t="s">
        <v>94</v>
      </c>
      <c r="F38" s="16" t="s">
        <v>10</v>
      </c>
      <c r="G38" t="s">
        <v>188</v>
      </c>
      <c r="H38" s="17" t="s">
        <v>192</v>
      </c>
      <c r="I38" s="17" t="s">
        <v>434</v>
      </c>
      <c r="J38" s="18">
        <v>46104</v>
      </c>
      <c r="K38" s="19">
        <v>12</v>
      </c>
      <c r="L38" s="20">
        <v>40.549999999999997</v>
      </c>
      <c r="M38" s="21">
        <v>1</v>
      </c>
      <c r="N38" s="22">
        <v>486.6</v>
      </c>
      <c r="O38" s="21">
        <v>0.03</v>
      </c>
      <c r="P38" s="22">
        <f t="shared" si="0"/>
        <v>14.598000000000001</v>
      </c>
      <c r="Q38" s="16" t="s">
        <v>101</v>
      </c>
    </row>
    <row r="39" spans="1:17" x14ac:dyDescent="0.25">
      <c r="A39" s="16" t="s">
        <v>92</v>
      </c>
      <c r="B39" s="16" t="s">
        <v>93</v>
      </c>
      <c r="C39" s="16" t="s">
        <v>93</v>
      </c>
      <c r="D39" s="16" t="s">
        <v>93</v>
      </c>
      <c r="E39" s="16" t="s">
        <v>94</v>
      </c>
      <c r="F39" s="16" t="s">
        <v>10</v>
      </c>
      <c r="G39" t="s">
        <v>188</v>
      </c>
      <c r="H39" s="17" t="s">
        <v>154</v>
      </c>
      <c r="I39" s="17" t="s">
        <v>434</v>
      </c>
      <c r="J39" s="18">
        <v>46104</v>
      </c>
      <c r="K39" s="19">
        <v>50</v>
      </c>
      <c r="L39" s="20">
        <v>40.549999999999997</v>
      </c>
      <c r="M39" s="21">
        <v>1</v>
      </c>
      <c r="N39" s="22">
        <v>2027.5</v>
      </c>
      <c r="O39" s="21">
        <v>0.03</v>
      </c>
      <c r="P39" s="22">
        <f t="shared" si="0"/>
        <v>60.824999999999996</v>
      </c>
      <c r="Q39" s="16" t="s">
        <v>101</v>
      </c>
    </row>
    <row r="40" spans="1:17" x14ac:dyDescent="0.25">
      <c r="A40" s="16" t="s">
        <v>92</v>
      </c>
      <c r="B40" s="16" t="s">
        <v>93</v>
      </c>
      <c r="C40" s="16" t="s">
        <v>93</v>
      </c>
      <c r="D40" s="16" t="s">
        <v>93</v>
      </c>
      <c r="E40" s="16" t="s">
        <v>94</v>
      </c>
      <c r="F40" s="16" t="s">
        <v>10</v>
      </c>
      <c r="G40" t="s">
        <v>188</v>
      </c>
      <c r="H40" s="17" t="s">
        <v>432</v>
      </c>
      <c r="I40" s="17" t="s">
        <v>434</v>
      </c>
      <c r="J40" s="18">
        <v>46104</v>
      </c>
      <c r="K40" s="19">
        <v>15</v>
      </c>
      <c r="L40" s="20">
        <v>40.549999999999997</v>
      </c>
      <c r="M40" s="21">
        <v>1</v>
      </c>
      <c r="N40" s="22">
        <v>608.25</v>
      </c>
      <c r="O40" s="21">
        <v>0.03</v>
      </c>
      <c r="P40" s="22">
        <f t="shared" si="0"/>
        <v>18.247499999999999</v>
      </c>
      <c r="Q40" s="16" t="s">
        <v>101</v>
      </c>
    </row>
    <row r="41" spans="1:17" x14ac:dyDescent="0.25">
      <c r="A41" s="16" t="s">
        <v>92</v>
      </c>
      <c r="B41" s="16" t="s">
        <v>93</v>
      </c>
      <c r="C41" s="16" t="s">
        <v>93</v>
      </c>
      <c r="D41" s="16" t="s">
        <v>93</v>
      </c>
      <c r="E41" s="16" t="s">
        <v>115</v>
      </c>
      <c r="F41" s="16" t="s">
        <v>10</v>
      </c>
      <c r="G41" t="s">
        <v>188</v>
      </c>
      <c r="H41" s="17" t="s">
        <v>435</v>
      </c>
      <c r="I41" s="17" t="s">
        <v>436</v>
      </c>
      <c r="J41" s="18">
        <v>46085</v>
      </c>
      <c r="K41" s="19">
        <v>20</v>
      </c>
      <c r="L41" s="20">
        <v>152.76</v>
      </c>
      <c r="M41" s="21">
        <v>1</v>
      </c>
      <c r="N41" s="22">
        <v>3055.2</v>
      </c>
      <c r="O41" s="21">
        <v>0.03</v>
      </c>
      <c r="P41" s="22">
        <f t="shared" si="0"/>
        <v>91.655999999999992</v>
      </c>
      <c r="Q41" s="16" t="s">
        <v>129</v>
      </c>
    </row>
    <row r="42" spans="1:17" x14ac:dyDescent="0.25">
      <c r="A42" s="16" t="s">
        <v>92</v>
      </c>
      <c r="B42" s="16" t="s">
        <v>93</v>
      </c>
      <c r="C42" s="16" t="s">
        <v>93</v>
      </c>
      <c r="D42" s="16" t="s">
        <v>93</v>
      </c>
      <c r="E42" s="16" t="s">
        <v>160</v>
      </c>
      <c r="F42" s="16" t="s">
        <v>12</v>
      </c>
      <c r="G42" t="s">
        <v>195</v>
      </c>
      <c r="H42" s="17" t="s">
        <v>437</v>
      </c>
      <c r="I42" s="17" t="s">
        <v>438</v>
      </c>
      <c r="J42" s="18">
        <v>46108</v>
      </c>
      <c r="K42" s="19">
        <v>20000</v>
      </c>
      <c r="L42" s="20">
        <v>0.1487</v>
      </c>
      <c r="M42" s="21">
        <v>1</v>
      </c>
      <c r="N42" s="22">
        <v>2974</v>
      </c>
      <c r="O42" s="21">
        <v>0.03</v>
      </c>
      <c r="P42" s="22">
        <f t="shared" si="0"/>
        <v>89.22</v>
      </c>
      <c r="Q42" s="16" t="s">
        <v>164</v>
      </c>
    </row>
    <row r="43" spans="1:17" x14ac:dyDescent="0.25">
      <c r="A43" s="16" t="s">
        <v>92</v>
      </c>
      <c r="B43" s="16" t="s">
        <v>93</v>
      </c>
      <c r="C43" s="16" t="s">
        <v>93</v>
      </c>
      <c r="D43" s="16" t="s">
        <v>93</v>
      </c>
      <c r="E43" s="16" t="s">
        <v>94</v>
      </c>
      <c r="F43" s="16" t="s">
        <v>12</v>
      </c>
      <c r="G43" t="s">
        <v>195</v>
      </c>
      <c r="H43" s="17" t="s">
        <v>196</v>
      </c>
      <c r="I43" s="17" t="s">
        <v>439</v>
      </c>
      <c r="J43" s="18">
        <v>46111</v>
      </c>
      <c r="K43" s="19">
        <v>160</v>
      </c>
      <c r="L43" s="20">
        <v>47.55</v>
      </c>
      <c r="M43" s="21">
        <v>1</v>
      </c>
      <c r="N43" s="22">
        <v>7608</v>
      </c>
      <c r="O43" s="21">
        <v>0.03</v>
      </c>
      <c r="P43" s="22">
        <f t="shared" si="0"/>
        <v>228.23999999999998</v>
      </c>
      <c r="Q43" s="16" t="s">
        <v>101</v>
      </c>
    </row>
    <row r="44" spans="1:17" x14ac:dyDescent="0.25">
      <c r="A44" s="16" t="s">
        <v>92</v>
      </c>
      <c r="B44" s="16" t="s">
        <v>93</v>
      </c>
      <c r="C44" s="16" t="s">
        <v>93</v>
      </c>
      <c r="D44" s="16" t="s">
        <v>93</v>
      </c>
      <c r="E44" s="16" t="s">
        <v>94</v>
      </c>
      <c r="F44" s="16" t="s">
        <v>12</v>
      </c>
      <c r="G44" t="s">
        <v>195</v>
      </c>
      <c r="H44" s="17" t="s">
        <v>440</v>
      </c>
      <c r="I44" s="17" t="s">
        <v>439</v>
      </c>
      <c r="J44" s="18">
        <v>46111</v>
      </c>
      <c r="K44" s="19">
        <v>80</v>
      </c>
      <c r="L44" s="20">
        <v>47.55</v>
      </c>
      <c r="M44" s="21">
        <v>1</v>
      </c>
      <c r="N44" s="22">
        <v>3804</v>
      </c>
      <c r="O44" s="21">
        <v>0.03</v>
      </c>
      <c r="P44" s="22">
        <f t="shared" si="0"/>
        <v>114.11999999999999</v>
      </c>
      <c r="Q44" s="16" t="s">
        <v>101</v>
      </c>
    </row>
    <row r="45" spans="1:17" x14ac:dyDescent="0.25">
      <c r="A45" s="16" t="s">
        <v>92</v>
      </c>
      <c r="B45" s="16" t="s">
        <v>93</v>
      </c>
      <c r="C45" s="16" t="s">
        <v>93</v>
      </c>
      <c r="D45" s="16" t="s">
        <v>93</v>
      </c>
      <c r="E45" s="16" t="s">
        <v>160</v>
      </c>
      <c r="F45" s="16" t="s">
        <v>42</v>
      </c>
      <c r="G45" t="s">
        <v>199</v>
      </c>
      <c r="H45" s="17" t="s">
        <v>441</v>
      </c>
      <c r="I45" s="17" t="s">
        <v>442</v>
      </c>
      <c r="J45" s="18">
        <v>46107</v>
      </c>
      <c r="K45" s="19">
        <v>5000</v>
      </c>
      <c r="L45" s="20">
        <v>0.14399999999999999</v>
      </c>
      <c r="M45" s="21">
        <v>1</v>
      </c>
      <c r="N45" s="22">
        <v>720</v>
      </c>
      <c r="O45" s="21">
        <v>0.03</v>
      </c>
      <c r="P45" s="22">
        <f t="shared" si="0"/>
        <v>21.599999999999998</v>
      </c>
      <c r="Q45" s="16" t="s">
        <v>164</v>
      </c>
    </row>
    <row r="46" spans="1:17" x14ac:dyDescent="0.25">
      <c r="A46" s="16" t="s">
        <v>92</v>
      </c>
      <c r="B46" s="16" t="s">
        <v>93</v>
      </c>
      <c r="C46" s="16" t="s">
        <v>93</v>
      </c>
      <c r="D46" s="16" t="s">
        <v>93</v>
      </c>
      <c r="E46" s="16" t="s">
        <v>94</v>
      </c>
      <c r="F46" s="16" t="s">
        <v>13</v>
      </c>
      <c r="G46" t="s">
        <v>203</v>
      </c>
      <c r="H46" s="17" t="s">
        <v>443</v>
      </c>
      <c r="I46" s="17" t="s">
        <v>444</v>
      </c>
      <c r="J46" s="18">
        <v>46100</v>
      </c>
      <c r="K46" s="19">
        <v>12</v>
      </c>
      <c r="L46" s="20">
        <v>150.16999999999999</v>
      </c>
      <c r="M46" s="21">
        <v>1</v>
      </c>
      <c r="N46" s="22">
        <v>1802.04</v>
      </c>
      <c r="O46" s="21">
        <v>0.03</v>
      </c>
      <c r="P46" s="22">
        <f t="shared" si="0"/>
        <v>54.061199999999999</v>
      </c>
      <c r="Q46" s="16" t="s">
        <v>101</v>
      </c>
    </row>
    <row r="47" spans="1:17" x14ac:dyDescent="0.25">
      <c r="A47" s="16" t="s">
        <v>92</v>
      </c>
      <c r="B47" s="16" t="s">
        <v>93</v>
      </c>
      <c r="C47" s="16" t="s">
        <v>93</v>
      </c>
      <c r="D47" s="16" t="s">
        <v>93</v>
      </c>
      <c r="E47" s="16" t="s">
        <v>94</v>
      </c>
      <c r="F47" s="16" t="s">
        <v>13</v>
      </c>
      <c r="G47" t="s">
        <v>203</v>
      </c>
      <c r="H47" s="17" t="s">
        <v>352</v>
      </c>
      <c r="I47" s="17" t="s">
        <v>445</v>
      </c>
      <c r="J47" s="18">
        <v>46093</v>
      </c>
      <c r="K47" s="19">
        <v>30</v>
      </c>
      <c r="L47" s="20">
        <v>35.82</v>
      </c>
      <c r="M47" s="21">
        <v>1</v>
      </c>
      <c r="N47" s="22">
        <v>1074.5999999999999</v>
      </c>
      <c r="O47" s="21">
        <v>0.03</v>
      </c>
      <c r="P47" s="22">
        <f t="shared" si="0"/>
        <v>32.238</v>
      </c>
      <c r="Q47" s="16" t="s">
        <v>98</v>
      </c>
    </row>
    <row r="48" spans="1:17" x14ac:dyDescent="0.25">
      <c r="A48" s="16" t="s">
        <v>92</v>
      </c>
      <c r="B48" s="16" t="s">
        <v>93</v>
      </c>
      <c r="C48" s="16" t="s">
        <v>93</v>
      </c>
      <c r="D48" s="16" t="s">
        <v>93</v>
      </c>
      <c r="E48" s="16" t="s">
        <v>94</v>
      </c>
      <c r="F48" s="16" t="s">
        <v>13</v>
      </c>
      <c r="G48" t="s">
        <v>203</v>
      </c>
      <c r="H48" s="17" t="s">
        <v>446</v>
      </c>
      <c r="I48" s="17" t="s">
        <v>445</v>
      </c>
      <c r="J48" s="18">
        <v>46093</v>
      </c>
      <c r="K48" s="19">
        <v>18</v>
      </c>
      <c r="L48" s="20">
        <v>53.05</v>
      </c>
      <c r="M48" s="21">
        <v>1</v>
      </c>
      <c r="N48" s="22">
        <v>954.9</v>
      </c>
      <c r="O48" s="21">
        <v>0.03</v>
      </c>
      <c r="P48" s="22">
        <f t="shared" si="0"/>
        <v>28.646999999999998</v>
      </c>
      <c r="Q48" s="16" t="s">
        <v>98</v>
      </c>
    </row>
    <row r="49" spans="1:17" x14ac:dyDescent="0.25">
      <c r="A49" s="16" t="s">
        <v>92</v>
      </c>
      <c r="B49" s="16" t="s">
        <v>93</v>
      </c>
      <c r="C49" s="16" t="s">
        <v>93</v>
      </c>
      <c r="D49" s="16" t="s">
        <v>93</v>
      </c>
      <c r="E49" s="16" t="s">
        <v>94</v>
      </c>
      <c r="F49" s="16" t="s">
        <v>13</v>
      </c>
      <c r="G49" t="s">
        <v>203</v>
      </c>
      <c r="H49" s="17" t="s">
        <v>447</v>
      </c>
      <c r="I49" s="17" t="s">
        <v>445</v>
      </c>
      <c r="J49" s="18">
        <v>46093</v>
      </c>
      <c r="K49" s="19">
        <v>7</v>
      </c>
      <c r="L49" s="20">
        <v>53.05</v>
      </c>
      <c r="M49" s="21">
        <v>1</v>
      </c>
      <c r="N49" s="22">
        <v>371.35</v>
      </c>
      <c r="O49" s="21">
        <v>0.03</v>
      </c>
      <c r="P49" s="22">
        <f t="shared" si="0"/>
        <v>11.140499999999999</v>
      </c>
      <c r="Q49" s="16" t="s">
        <v>98</v>
      </c>
    </row>
    <row r="50" spans="1:17" x14ac:dyDescent="0.25">
      <c r="A50" s="16" t="s">
        <v>92</v>
      </c>
      <c r="B50" s="16" t="s">
        <v>93</v>
      </c>
      <c r="C50" s="16" t="s">
        <v>93</v>
      </c>
      <c r="D50" s="16" t="s">
        <v>93</v>
      </c>
      <c r="E50" s="16" t="s">
        <v>94</v>
      </c>
      <c r="F50" s="16" t="s">
        <v>13</v>
      </c>
      <c r="G50" t="s">
        <v>203</v>
      </c>
      <c r="H50" s="17" t="s">
        <v>204</v>
      </c>
      <c r="I50" s="17" t="s">
        <v>445</v>
      </c>
      <c r="J50" s="18">
        <v>46093</v>
      </c>
      <c r="K50" s="19">
        <v>16.5</v>
      </c>
      <c r="L50" s="20">
        <v>36.630000000000003</v>
      </c>
      <c r="M50" s="21">
        <v>1</v>
      </c>
      <c r="N50" s="22">
        <v>604.4</v>
      </c>
      <c r="O50" s="21">
        <v>0.03</v>
      </c>
      <c r="P50" s="22">
        <f t="shared" si="0"/>
        <v>18.131999999999998</v>
      </c>
      <c r="Q50" s="16" t="s">
        <v>98</v>
      </c>
    </row>
    <row r="51" spans="1:17" x14ac:dyDescent="0.25">
      <c r="A51" s="16" t="s">
        <v>92</v>
      </c>
      <c r="B51" s="16" t="s">
        <v>93</v>
      </c>
      <c r="C51" s="16" t="s">
        <v>93</v>
      </c>
      <c r="D51" s="16" t="s">
        <v>93</v>
      </c>
      <c r="E51" s="16" t="s">
        <v>94</v>
      </c>
      <c r="F51" s="16" t="s">
        <v>13</v>
      </c>
      <c r="G51" t="s">
        <v>203</v>
      </c>
      <c r="H51" s="17" t="s">
        <v>204</v>
      </c>
      <c r="I51" s="17" t="s">
        <v>448</v>
      </c>
      <c r="J51" s="18">
        <v>46097</v>
      </c>
      <c r="K51" s="19">
        <v>1.5</v>
      </c>
      <c r="L51" s="20">
        <v>34.799999999999997</v>
      </c>
      <c r="M51" s="21">
        <v>1</v>
      </c>
      <c r="N51" s="22">
        <v>52.2</v>
      </c>
      <c r="O51" s="21">
        <v>0.03</v>
      </c>
      <c r="P51" s="22">
        <f t="shared" si="0"/>
        <v>1.5660000000000001</v>
      </c>
      <c r="Q51" s="16" t="s">
        <v>98</v>
      </c>
    </row>
    <row r="52" spans="1:17" x14ac:dyDescent="0.25">
      <c r="A52" s="16" t="s">
        <v>92</v>
      </c>
      <c r="B52" s="16" t="s">
        <v>93</v>
      </c>
      <c r="C52" s="16" t="s">
        <v>93</v>
      </c>
      <c r="D52" s="16" t="s">
        <v>93</v>
      </c>
      <c r="E52" s="16" t="s">
        <v>160</v>
      </c>
      <c r="F52" s="16" t="s">
        <v>13</v>
      </c>
      <c r="G52" t="s">
        <v>203</v>
      </c>
      <c r="H52" s="17" t="s">
        <v>449</v>
      </c>
      <c r="I52" s="17" t="s">
        <v>450</v>
      </c>
      <c r="J52" s="18">
        <v>46093</v>
      </c>
      <c r="K52" s="19">
        <v>5000</v>
      </c>
      <c r="L52" s="20">
        <v>0.54769999999999996</v>
      </c>
      <c r="M52" s="21">
        <v>1</v>
      </c>
      <c r="N52" s="22">
        <v>2738.5</v>
      </c>
      <c r="O52" s="21">
        <v>0.03</v>
      </c>
      <c r="P52" s="22">
        <f t="shared" si="0"/>
        <v>82.155000000000001</v>
      </c>
      <c r="Q52" s="16" t="s">
        <v>164</v>
      </c>
    </row>
    <row r="53" spans="1:17" x14ac:dyDescent="0.25">
      <c r="A53" s="16" t="s">
        <v>92</v>
      </c>
      <c r="B53" s="16" t="s">
        <v>93</v>
      </c>
      <c r="C53" s="16" t="s">
        <v>93</v>
      </c>
      <c r="D53" s="16" t="s">
        <v>93</v>
      </c>
      <c r="E53" s="16" t="s">
        <v>153</v>
      </c>
      <c r="F53" s="16" t="s">
        <v>13</v>
      </c>
      <c r="G53" t="s">
        <v>203</v>
      </c>
      <c r="H53" s="17" t="s">
        <v>447</v>
      </c>
      <c r="I53" s="17" t="s">
        <v>451</v>
      </c>
      <c r="J53" s="18">
        <v>46093</v>
      </c>
      <c r="K53" s="19">
        <v>3</v>
      </c>
      <c r="L53" s="20">
        <v>53.05</v>
      </c>
      <c r="M53" s="21">
        <v>1</v>
      </c>
      <c r="N53" s="22">
        <v>159.15</v>
      </c>
      <c r="O53" s="21">
        <v>0.03</v>
      </c>
      <c r="P53" s="22">
        <f t="shared" si="0"/>
        <v>4.7744999999999997</v>
      </c>
      <c r="Q53" s="16" t="s">
        <v>227</v>
      </c>
    </row>
    <row r="54" spans="1:17" x14ac:dyDescent="0.25">
      <c r="A54" s="16" t="s">
        <v>92</v>
      </c>
      <c r="B54" s="16" t="s">
        <v>93</v>
      </c>
      <c r="C54" s="16" t="s">
        <v>93</v>
      </c>
      <c r="D54" s="16" t="s">
        <v>93</v>
      </c>
      <c r="E54" s="16" t="s">
        <v>153</v>
      </c>
      <c r="F54" s="16" t="s">
        <v>14</v>
      </c>
      <c r="G54" t="s">
        <v>452</v>
      </c>
      <c r="H54" s="17" t="s">
        <v>453</v>
      </c>
      <c r="I54" s="17" t="s">
        <v>454</v>
      </c>
      <c r="J54" s="18">
        <v>46106</v>
      </c>
      <c r="K54" s="19">
        <v>12</v>
      </c>
      <c r="L54" s="20">
        <v>40.67</v>
      </c>
      <c r="M54" s="21">
        <v>1</v>
      </c>
      <c r="N54" s="22">
        <v>488.04</v>
      </c>
      <c r="O54" s="21">
        <v>0.03</v>
      </c>
      <c r="P54" s="22">
        <f t="shared" si="0"/>
        <v>14.6412</v>
      </c>
      <c r="Q54" s="16" t="s">
        <v>156</v>
      </c>
    </row>
    <row r="55" spans="1:17" x14ac:dyDescent="0.25">
      <c r="A55" s="16" t="s">
        <v>92</v>
      </c>
      <c r="B55" s="16" t="s">
        <v>93</v>
      </c>
      <c r="C55" s="16" t="s">
        <v>93</v>
      </c>
      <c r="D55" s="16" t="s">
        <v>207</v>
      </c>
      <c r="E55" s="16" t="s">
        <v>115</v>
      </c>
      <c r="F55" s="16" t="s">
        <v>61</v>
      </c>
      <c r="G55" t="s">
        <v>208</v>
      </c>
      <c r="H55" s="17" t="s">
        <v>455</v>
      </c>
      <c r="I55" s="17" t="s">
        <v>456</v>
      </c>
      <c r="J55" s="18">
        <v>46087</v>
      </c>
      <c r="K55" s="19">
        <v>10</v>
      </c>
      <c r="L55" s="20">
        <v>227.15</v>
      </c>
      <c r="M55" s="21">
        <v>0.67</v>
      </c>
      <c r="N55" s="22">
        <v>1521.905</v>
      </c>
      <c r="O55" s="21">
        <v>0.03</v>
      </c>
      <c r="P55" s="22">
        <f t="shared" si="0"/>
        <v>45.657149999999994</v>
      </c>
      <c r="Q55" s="16" t="s">
        <v>129</v>
      </c>
    </row>
    <row r="56" spans="1:17" x14ac:dyDescent="0.25">
      <c r="A56" s="16" t="s">
        <v>92</v>
      </c>
      <c r="B56" s="16" t="s">
        <v>93</v>
      </c>
      <c r="C56" s="16" t="s">
        <v>93</v>
      </c>
      <c r="D56" s="16" t="s">
        <v>207</v>
      </c>
      <c r="E56" s="16" t="s">
        <v>202</v>
      </c>
      <c r="F56" s="16" t="s">
        <v>61</v>
      </c>
      <c r="G56" t="s">
        <v>208</v>
      </c>
      <c r="H56" s="17" t="s">
        <v>209</v>
      </c>
      <c r="I56" s="17" t="s">
        <v>456</v>
      </c>
      <c r="J56" s="18">
        <v>46087</v>
      </c>
      <c r="K56" s="19">
        <v>144</v>
      </c>
      <c r="L56" s="20">
        <v>23.52</v>
      </c>
      <c r="M56" s="21">
        <v>0.67</v>
      </c>
      <c r="N56" s="22">
        <v>2269.2096000000001</v>
      </c>
      <c r="O56" s="21">
        <v>0.03</v>
      </c>
      <c r="P56" s="22">
        <f t="shared" si="0"/>
        <v>68.076288000000005</v>
      </c>
      <c r="Q56" s="16" t="s">
        <v>206</v>
      </c>
    </row>
    <row r="57" spans="1:17" x14ac:dyDescent="0.25">
      <c r="A57" s="16" t="s">
        <v>92</v>
      </c>
      <c r="B57" s="16" t="s">
        <v>93</v>
      </c>
      <c r="C57" s="16" t="s">
        <v>93</v>
      </c>
      <c r="D57" s="16" t="s">
        <v>93</v>
      </c>
      <c r="E57" s="16" t="s">
        <v>153</v>
      </c>
      <c r="F57" s="16" t="s">
        <v>15</v>
      </c>
      <c r="G57" t="s">
        <v>355</v>
      </c>
      <c r="H57" s="17" t="s">
        <v>457</v>
      </c>
      <c r="I57" s="17" t="s">
        <v>458</v>
      </c>
      <c r="J57" s="18">
        <v>46106</v>
      </c>
      <c r="K57" s="19">
        <v>5</v>
      </c>
      <c r="L57" s="20">
        <v>53.53</v>
      </c>
      <c r="M57" s="21">
        <v>1</v>
      </c>
      <c r="N57" s="22">
        <v>267.64999999999998</v>
      </c>
      <c r="O57" s="21">
        <v>0.03</v>
      </c>
      <c r="P57" s="22">
        <f t="shared" si="0"/>
        <v>8.0294999999999987</v>
      </c>
      <c r="Q57" s="16" t="s">
        <v>156</v>
      </c>
    </row>
    <row r="58" spans="1:17" x14ac:dyDescent="0.25">
      <c r="A58" s="16" t="s">
        <v>92</v>
      </c>
      <c r="B58" s="16" t="s">
        <v>93</v>
      </c>
      <c r="C58" s="16" t="s">
        <v>93</v>
      </c>
      <c r="D58" s="16" t="s">
        <v>93</v>
      </c>
      <c r="E58" s="16" t="s">
        <v>94</v>
      </c>
      <c r="F58" s="16" t="s">
        <v>15</v>
      </c>
      <c r="G58" t="s">
        <v>355</v>
      </c>
      <c r="H58" s="17" t="s">
        <v>457</v>
      </c>
      <c r="I58" s="17" t="s">
        <v>459</v>
      </c>
      <c r="J58" s="18">
        <v>46111</v>
      </c>
      <c r="K58" s="19">
        <v>5</v>
      </c>
      <c r="L58" s="20">
        <v>53.53</v>
      </c>
      <c r="M58" s="21">
        <v>1</v>
      </c>
      <c r="N58" s="22">
        <v>267.64999999999998</v>
      </c>
      <c r="O58" s="21">
        <v>0.03</v>
      </c>
      <c r="P58" s="22">
        <f t="shared" si="0"/>
        <v>8.0294999999999987</v>
      </c>
      <c r="Q58" s="16" t="s">
        <v>101</v>
      </c>
    </row>
    <row r="59" spans="1:17" x14ac:dyDescent="0.25">
      <c r="A59" s="16" t="s">
        <v>92</v>
      </c>
      <c r="B59" s="16" t="s">
        <v>93</v>
      </c>
      <c r="C59" s="16" t="s">
        <v>93</v>
      </c>
      <c r="D59" s="16" t="s">
        <v>93</v>
      </c>
      <c r="E59" s="16" t="s">
        <v>94</v>
      </c>
      <c r="F59" s="16" t="s">
        <v>15</v>
      </c>
      <c r="G59" t="s">
        <v>355</v>
      </c>
      <c r="H59" s="17" t="s">
        <v>460</v>
      </c>
      <c r="I59" s="17" t="s">
        <v>461</v>
      </c>
      <c r="J59" s="18">
        <v>46090</v>
      </c>
      <c r="K59" s="19">
        <v>10</v>
      </c>
      <c r="L59" s="20">
        <v>53.53</v>
      </c>
      <c r="M59" s="21">
        <v>1</v>
      </c>
      <c r="N59" s="22">
        <v>535.29999999999995</v>
      </c>
      <c r="O59" s="21">
        <v>0.03</v>
      </c>
      <c r="P59" s="22">
        <f t="shared" si="0"/>
        <v>16.058999999999997</v>
      </c>
      <c r="Q59" s="16" t="s">
        <v>101</v>
      </c>
    </row>
    <row r="60" spans="1:17" x14ac:dyDescent="0.25">
      <c r="A60" s="16" t="s">
        <v>92</v>
      </c>
      <c r="B60" s="16" t="s">
        <v>93</v>
      </c>
      <c r="C60" s="16" t="s">
        <v>93</v>
      </c>
      <c r="D60" s="16" t="s">
        <v>93</v>
      </c>
      <c r="E60" s="16" t="s">
        <v>160</v>
      </c>
      <c r="F60" s="16" t="s">
        <v>71</v>
      </c>
      <c r="G60" t="s">
        <v>211</v>
      </c>
      <c r="H60" s="17" t="s">
        <v>449</v>
      </c>
      <c r="I60" s="17" t="s">
        <v>462</v>
      </c>
      <c r="J60" s="18">
        <v>46111</v>
      </c>
      <c r="K60" s="19">
        <v>10000</v>
      </c>
      <c r="L60" s="20">
        <v>0.26679999999999998</v>
      </c>
      <c r="M60" s="21">
        <v>1</v>
      </c>
      <c r="N60" s="22">
        <v>2668</v>
      </c>
      <c r="O60" s="21">
        <v>0.03</v>
      </c>
      <c r="P60" s="22">
        <f t="shared" si="0"/>
        <v>80.039999999999992</v>
      </c>
      <c r="Q60" s="16" t="s">
        <v>164</v>
      </c>
    </row>
    <row r="61" spans="1:17" x14ac:dyDescent="0.25">
      <c r="A61" s="16" t="s">
        <v>92</v>
      </c>
      <c r="B61" s="16" t="s">
        <v>93</v>
      </c>
      <c r="C61" s="16" t="s">
        <v>93</v>
      </c>
      <c r="D61" s="16" t="s">
        <v>93</v>
      </c>
      <c r="E61" s="16" t="s">
        <v>94</v>
      </c>
      <c r="F61" s="16" t="s">
        <v>16</v>
      </c>
      <c r="G61" t="s">
        <v>228</v>
      </c>
      <c r="H61" s="17" t="s">
        <v>463</v>
      </c>
      <c r="I61" s="17" t="s">
        <v>464</v>
      </c>
      <c r="J61" s="18">
        <v>46108</v>
      </c>
      <c r="K61" s="19">
        <v>4.5</v>
      </c>
      <c r="L61" s="20">
        <v>121.79</v>
      </c>
      <c r="M61" s="21">
        <v>1</v>
      </c>
      <c r="N61" s="22">
        <v>548.05999999999995</v>
      </c>
      <c r="O61" s="21">
        <v>0.03</v>
      </c>
      <c r="P61" s="22">
        <f t="shared" si="0"/>
        <v>16.441799999999997</v>
      </c>
      <c r="Q61" s="16" t="s">
        <v>98</v>
      </c>
    </row>
    <row r="62" spans="1:17" x14ac:dyDescent="0.25">
      <c r="A62" s="16" t="s">
        <v>92</v>
      </c>
      <c r="B62" s="16" t="s">
        <v>93</v>
      </c>
      <c r="C62" s="16" t="s">
        <v>93</v>
      </c>
      <c r="D62" s="16" t="s">
        <v>93</v>
      </c>
      <c r="E62" s="16" t="s">
        <v>160</v>
      </c>
      <c r="F62" s="16" t="s">
        <v>16</v>
      </c>
      <c r="G62" t="s">
        <v>228</v>
      </c>
      <c r="H62" s="17" t="s">
        <v>465</v>
      </c>
      <c r="I62" s="17" t="s">
        <v>464</v>
      </c>
      <c r="J62" s="18">
        <v>46108</v>
      </c>
      <c r="K62" s="19">
        <v>3000</v>
      </c>
      <c r="L62" s="20">
        <v>0.42730000000000001</v>
      </c>
      <c r="M62" s="21">
        <v>1</v>
      </c>
      <c r="N62" s="22">
        <v>1281.9000000000001</v>
      </c>
      <c r="O62" s="21">
        <v>0.03</v>
      </c>
      <c r="P62" s="22">
        <f t="shared" si="0"/>
        <v>38.457000000000001</v>
      </c>
      <c r="Q62" s="16" t="s">
        <v>231</v>
      </c>
    </row>
    <row r="63" spans="1:17" x14ac:dyDescent="0.25">
      <c r="A63" s="16" t="s">
        <v>92</v>
      </c>
      <c r="B63" s="16" t="s">
        <v>93</v>
      </c>
      <c r="C63" s="16" t="s">
        <v>93</v>
      </c>
      <c r="D63" s="16" t="s">
        <v>93</v>
      </c>
      <c r="E63" s="16" t="s">
        <v>160</v>
      </c>
      <c r="F63" s="16" t="s">
        <v>16</v>
      </c>
      <c r="G63" t="s">
        <v>228</v>
      </c>
      <c r="H63" s="17" t="s">
        <v>232</v>
      </c>
      <c r="I63" s="17" t="s">
        <v>466</v>
      </c>
      <c r="J63" s="18">
        <v>46098</v>
      </c>
      <c r="K63" s="19">
        <v>2000</v>
      </c>
      <c r="L63" s="20">
        <v>0.48859999999999998</v>
      </c>
      <c r="M63" s="21">
        <v>1</v>
      </c>
      <c r="N63" s="22">
        <v>977.2</v>
      </c>
      <c r="O63" s="21">
        <v>0.03</v>
      </c>
      <c r="P63" s="22">
        <f t="shared" si="0"/>
        <v>29.315999999999999</v>
      </c>
      <c r="Q63" s="16" t="s">
        <v>231</v>
      </c>
    </row>
    <row r="64" spans="1:17" x14ac:dyDescent="0.25">
      <c r="A64" s="16" t="s">
        <v>92</v>
      </c>
      <c r="B64" s="16" t="s">
        <v>93</v>
      </c>
      <c r="C64" s="16" t="s">
        <v>93</v>
      </c>
      <c r="D64" s="16" t="s">
        <v>93</v>
      </c>
      <c r="E64" s="16" t="s">
        <v>94</v>
      </c>
      <c r="F64" s="16" t="s">
        <v>19</v>
      </c>
      <c r="G64" t="s">
        <v>233</v>
      </c>
      <c r="H64" s="17" t="s">
        <v>236</v>
      </c>
      <c r="I64" s="17" t="s">
        <v>467</v>
      </c>
      <c r="J64" s="18">
        <v>46090</v>
      </c>
      <c r="K64" s="19">
        <v>480</v>
      </c>
      <c r="L64" s="20">
        <v>27.29</v>
      </c>
      <c r="M64" s="21">
        <v>1</v>
      </c>
      <c r="N64" s="22">
        <v>13099.2</v>
      </c>
      <c r="O64" s="21">
        <v>0.01</v>
      </c>
      <c r="P64" s="22">
        <f t="shared" si="0"/>
        <v>130.99200000000002</v>
      </c>
      <c r="Q64" s="16" t="s">
        <v>101</v>
      </c>
    </row>
    <row r="65" spans="1:17" x14ac:dyDescent="0.25">
      <c r="A65" s="16" t="s">
        <v>92</v>
      </c>
      <c r="B65" s="16" t="s">
        <v>93</v>
      </c>
      <c r="C65" s="16" t="s">
        <v>93</v>
      </c>
      <c r="D65" s="16" t="s">
        <v>93</v>
      </c>
      <c r="E65" s="16" t="s">
        <v>94</v>
      </c>
      <c r="F65" s="16" t="s">
        <v>19</v>
      </c>
      <c r="G65" t="s">
        <v>233</v>
      </c>
      <c r="H65" s="17" t="s">
        <v>234</v>
      </c>
      <c r="I65" s="17" t="s">
        <v>467</v>
      </c>
      <c r="J65" s="18">
        <v>46090</v>
      </c>
      <c r="K65" s="19">
        <v>90</v>
      </c>
      <c r="L65" s="20">
        <v>26.26</v>
      </c>
      <c r="M65" s="21">
        <v>1</v>
      </c>
      <c r="N65" s="22">
        <v>2363.4</v>
      </c>
      <c r="O65" s="21">
        <v>0.01</v>
      </c>
      <c r="P65" s="22">
        <f t="shared" si="0"/>
        <v>23.634</v>
      </c>
      <c r="Q65" s="16" t="s">
        <v>101</v>
      </c>
    </row>
    <row r="66" spans="1:17" x14ac:dyDescent="0.25">
      <c r="A66" s="16" t="s">
        <v>92</v>
      </c>
      <c r="B66" s="16" t="s">
        <v>93</v>
      </c>
      <c r="C66" s="16" t="s">
        <v>93</v>
      </c>
      <c r="D66" s="16" t="s">
        <v>93</v>
      </c>
      <c r="E66" s="16" t="s">
        <v>94</v>
      </c>
      <c r="F66" s="16" t="s">
        <v>19</v>
      </c>
      <c r="G66" t="s">
        <v>233</v>
      </c>
      <c r="H66" s="17" t="s">
        <v>243</v>
      </c>
      <c r="I66" s="17" t="s">
        <v>468</v>
      </c>
      <c r="J66" s="18">
        <v>46107</v>
      </c>
      <c r="K66" s="19">
        <v>120</v>
      </c>
      <c r="L66" s="20">
        <v>27.29</v>
      </c>
      <c r="M66" s="21">
        <v>1</v>
      </c>
      <c r="N66" s="22">
        <v>3274.8</v>
      </c>
      <c r="O66" s="21">
        <v>0.01</v>
      </c>
      <c r="P66" s="22">
        <f t="shared" ref="P66:P89" si="1">N66 * O66</f>
        <v>32.748000000000005</v>
      </c>
      <c r="Q66" s="16" t="s">
        <v>101</v>
      </c>
    </row>
    <row r="67" spans="1:17" x14ac:dyDescent="0.25">
      <c r="A67" s="16" t="s">
        <v>92</v>
      </c>
      <c r="B67" s="16" t="s">
        <v>93</v>
      </c>
      <c r="C67" s="16" t="s">
        <v>93</v>
      </c>
      <c r="D67" s="16" t="s">
        <v>93</v>
      </c>
      <c r="E67" s="16" t="s">
        <v>94</v>
      </c>
      <c r="F67" s="16" t="s">
        <v>19</v>
      </c>
      <c r="G67" t="s">
        <v>233</v>
      </c>
      <c r="H67" s="17" t="s">
        <v>236</v>
      </c>
      <c r="I67" s="17" t="s">
        <v>468</v>
      </c>
      <c r="J67" s="18">
        <v>46107</v>
      </c>
      <c r="K67" s="19">
        <v>600</v>
      </c>
      <c r="L67" s="20">
        <v>27.29</v>
      </c>
      <c r="M67" s="21">
        <v>1</v>
      </c>
      <c r="N67" s="22">
        <v>16374</v>
      </c>
      <c r="O67" s="21">
        <v>0.01</v>
      </c>
      <c r="P67" s="22">
        <f t="shared" si="1"/>
        <v>163.74</v>
      </c>
      <c r="Q67" s="16" t="s">
        <v>101</v>
      </c>
    </row>
    <row r="68" spans="1:17" x14ac:dyDescent="0.25">
      <c r="A68" s="16" t="s">
        <v>92</v>
      </c>
      <c r="B68" s="16" t="s">
        <v>93</v>
      </c>
      <c r="C68" s="16" t="s">
        <v>93</v>
      </c>
      <c r="D68" s="16" t="s">
        <v>93</v>
      </c>
      <c r="E68" s="16" t="s">
        <v>94</v>
      </c>
      <c r="F68" s="16" t="s">
        <v>19</v>
      </c>
      <c r="G68" t="s">
        <v>233</v>
      </c>
      <c r="H68" s="17" t="s">
        <v>240</v>
      </c>
      <c r="I68" s="17" t="s">
        <v>469</v>
      </c>
      <c r="J68" s="18">
        <v>46094</v>
      </c>
      <c r="K68" s="19">
        <v>90</v>
      </c>
      <c r="L68" s="20">
        <v>26.47</v>
      </c>
      <c r="M68" s="21">
        <v>1</v>
      </c>
      <c r="N68" s="22">
        <v>2382.3000000000002</v>
      </c>
      <c r="O68" s="21">
        <v>0.01</v>
      </c>
      <c r="P68" s="22">
        <f t="shared" si="1"/>
        <v>23.823000000000004</v>
      </c>
      <c r="Q68" s="16" t="s">
        <v>101</v>
      </c>
    </row>
    <row r="69" spans="1:17" x14ac:dyDescent="0.25">
      <c r="A69" s="16" t="s">
        <v>92</v>
      </c>
      <c r="B69" s="16" t="s">
        <v>93</v>
      </c>
      <c r="C69" s="16" t="s">
        <v>93</v>
      </c>
      <c r="D69" s="16" t="s">
        <v>93</v>
      </c>
      <c r="E69" s="16" t="s">
        <v>94</v>
      </c>
      <c r="F69" s="16" t="s">
        <v>19</v>
      </c>
      <c r="G69" t="s">
        <v>233</v>
      </c>
      <c r="H69" s="17" t="s">
        <v>236</v>
      </c>
      <c r="I69" s="17" t="s">
        <v>469</v>
      </c>
      <c r="J69" s="18">
        <v>46094</v>
      </c>
      <c r="K69" s="19">
        <v>360</v>
      </c>
      <c r="L69" s="20">
        <v>27.29</v>
      </c>
      <c r="M69" s="21">
        <v>1</v>
      </c>
      <c r="N69" s="22">
        <v>9824.4</v>
      </c>
      <c r="O69" s="21">
        <v>0.01</v>
      </c>
      <c r="P69" s="22">
        <f t="shared" si="1"/>
        <v>98.244</v>
      </c>
      <c r="Q69" s="16" t="s">
        <v>101</v>
      </c>
    </row>
    <row r="70" spans="1:17" x14ac:dyDescent="0.25">
      <c r="A70" s="16" t="s">
        <v>92</v>
      </c>
      <c r="B70" s="16" t="s">
        <v>93</v>
      </c>
      <c r="C70" s="16" t="s">
        <v>93</v>
      </c>
      <c r="D70" s="16" t="s">
        <v>93</v>
      </c>
      <c r="E70" s="16" t="s">
        <v>94</v>
      </c>
      <c r="F70" s="16" t="s">
        <v>19</v>
      </c>
      <c r="G70" t="s">
        <v>233</v>
      </c>
      <c r="H70" s="17" t="s">
        <v>234</v>
      </c>
      <c r="I70" s="17" t="s">
        <v>469</v>
      </c>
      <c r="J70" s="18">
        <v>46094</v>
      </c>
      <c r="K70" s="19">
        <v>90</v>
      </c>
      <c r="L70" s="20">
        <v>26.26</v>
      </c>
      <c r="M70" s="21">
        <v>1</v>
      </c>
      <c r="N70" s="22">
        <v>2363.4</v>
      </c>
      <c r="O70" s="21">
        <v>0.01</v>
      </c>
      <c r="P70" s="22">
        <f t="shared" si="1"/>
        <v>23.634</v>
      </c>
      <c r="Q70" s="16" t="s">
        <v>101</v>
      </c>
    </row>
    <row r="71" spans="1:17" x14ac:dyDescent="0.25">
      <c r="A71" s="16" t="s">
        <v>92</v>
      </c>
      <c r="B71" s="16" t="s">
        <v>93</v>
      </c>
      <c r="C71" s="16" t="s">
        <v>93</v>
      </c>
      <c r="D71" s="16" t="s">
        <v>93</v>
      </c>
      <c r="E71" s="16" t="s">
        <v>94</v>
      </c>
      <c r="F71" s="16" t="s">
        <v>19</v>
      </c>
      <c r="G71" t="s">
        <v>233</v>
      </c>
      <c r="H71" s="17" t="s">
        <v>243</v>
      </c>
      <c r="I71" s="17" t="s">
        <v>470</v>
      </c>
      <c r="J71" s="18">
        <v>46111</v>
      </c>
      <c r="K71" s="19">
        <v>120</v>
      </c>
      <c r="L71" s="20">
        <v>27.29</v>
      </c>
      <c r="M71" s="21">
        <v>1</v>
      </c>
      <c r="N71" s="22">
        <v>3274.8</v>
      </c>
      <c r="O71" s="21">
        <v>0.01</v>
      </c>
      <c r="P71" s="22">
        <f t="shared" si="1"/>
        <v>32.748000000000005</v>
      </c>
      <c r="Q71" s="16" t="s">
        <v>101</v>
      </c>
    </row>
    <row r="72" spans="1:17" x14ac:dyDescent="0.25">
      <c r="A72" s="16" t="s">
        <v>92</v>
      </c>
      <c r="B72" s="16" t="s">
        <v>93</v>
      </c>
      <c r="C72" s="16" t="s">
        <v>93</v>
      </c>
      <c r="D72" s="16" t="s">
        <v>93</v>
      </c>
      <c r="E72" s="16" t="s">
        <v>94</v>
      </c>
      <c r="F72" s="16" t="s">
        <v>19</v>
      </c>
      <c r="G72" t="s">
        <v>233</v>
      </c>
      <c r="H72" s="17" t="s">
        <v>240</v>
      </c>
      <c r="I72" s="17" t="s">
        <v>470</v>
      </c>
      <c r="J72" s="18">
        <v>46111</v>
      </c>
      <c r="K72" s="19">
        <v>90</v>
      </c>
      <c r="L72" s="20">
        <v>26.47</v>
      </c>
      <c r="M72" s="21">
        <v>1</v>
      </c>
      <c r="N72" s="22">
        <v>2382.3000000000002</v>
      </c>
      <c r="O72" s="21">
        <v>0.01</v>
      </c>
      <c r="P72" s="22">
        <f t="shared" si="1"/>
        <v>23.823000000000004</v>
      </c>
      <c r="Q72" s="16" t="s">
        <v>101</v>
      </c>
    </row>
    <row r="73" spans="1:17" x14ac:dyDescent="0.25">
      <c r="A73" s="16" t="s">
        <v>92</v>
      </c>
      <c r="B73" s="16" t="s">
        <v>93</v>
      </c>
      <c r="C73" s="16" t="s">
        <v>93</v>
      </c>
      <c r="D73" s="16" t="s">
        <v>93</v>
      </c>
      <c r="E73" s="16" t="s">
        <v>94</v>
      </c>
      <c r="F73" s="16" t="s">
        <v>19</v>
      </c>
      <c r="G73" t="s">
        <v>233</v>
      </c>
      <c r="H73" s="17" t="s">
        <v>236</v>
      </c>
      <c r="I73" s="17" t="s">
        <v>470</v>
      </c>
      <c r="J73" s="18">
        <v>46111</v>
      </c>
      <c r="K73" s="19">
        <v>600</v>
      </c>
      <c r="L73" s="20">
        <v>27.29</v>
      </c>
      <c r="M73" s="21">
        <v>1</v>
      </c>
      <c r="N73" s="22">
        <v>16374</v>
      </c>
      <c r="O73" s="21">
        <v>0.01</v>
      </c>
      <c r="P73" s="22">
        <f t="shared" si="1"/>
        <v>163.74</v>
      </c>
      <c r="Q73" s="16" t="s">
        <v>101</v>
      </c>
    </row>
    <row r="74" spans="1:17" x14ac:dyDescent="0.25">
      <c r="A74" s="16" t="s">
        <v>92</v>
      </c>
      <c r="B74" s="16" t="s">
        <v>93</v>
      </c>
      <c r="C74" s="16" t="s">
        <v>93</v>
      </c>
      <c r="D74" s="16" t="s">
        <v>93</v>
      </c>
      <c r="E74" s="16" t="s">
        <v>94</v>
      </c>
      <c r="F74" s="16" t="s">
        <v>19</v>
      </c>
      <c r="G74" t="s">
        <v>233</v>
      </c>
      <c r="H74" s="17" t="s">
        <v>240</v>
      </c>
      <c r="I74" s="17" t="s">
        <v>471</v>
      </c>
      <c r="J74" s="18">
        <v>46112</v>
      </c>
      <c r="K74" s="19">
        <v>4.5</v>
      </c>
      <c r="L74" s="20">
        <v>26.47</v>
      </c>
      <c r="M74" s="21">
        <v>1</v>
      </c>
      <c r="N74" s="22">
        <v>-119.12</v>
      </c>
      <c r="O74" s="21">
        <v>0.01</v>
      </c>
      <c r="P74" s="22">
        <f t="shared" si="1"/>
        <v>-1.1912</v>
      </c>
      <c r="Q74" s="16" t="s">
        <v>238</v>
      </c>
    </row>
    <row r="75" spans="1:17" x14ac:dyDescent="0.25">
      <c r="A75" s="16" t="s">
        <v>92</v>
      </c>
      <c r="B75" s="16" t="s">
        <v>93</v>
      </c>
      <c r="C75" s="16" t="s">
        <v>93</v>
      </c>
      <c r="D75" s="16" t="s">
        <v>93</v>
      </c>
      <c r="E75" s="16" t="s">
        <v>94</v>
      </c>
      <c r="F75" s="16" t="s">
        <v>19</v>
      </c>
      <c r="G75" t="s">
        <v>233</v>
      </c>
      <c r="H75" s="17" t="s">
        <v>236</v>
      </c>
      <c r="I75" s="17" t="s">
        <v>472</v>
      </c>
      <c r="J75" s="18">
        <v>46112</v>
      </c>
      <c r="K75" s="19">
        <v>3</v>
      </c>
      <c r="L75" s="20">
        <v>27.29</v>
      </c>
      <c r="M75" s="21">
        <v>1</v>
      </c>
      <c r="N75" s="22">
        <v>-81.87</v>
      </c>
      <c r="O75" s="21">
        <v>0.01</v>
      </c>
      <c r="P75" s="22">
        <f t="shared" si="1"/>
        <v>-0.81870000000000009</v>
      </c>
      <c r="Q75" s="16" t="s">
        <v>238</v>
      </c>
    </row>
    <row r="76" spans="1:17" x14ac:dyDescent="0.25">
      <c r="A76" s="16" t="s">
        <v>92</v>
      </c>
      <c r="B76" s="16" t="s">
        <v>93</v>
      </c>
      <c r="C76" s="16" t="s">
        <v>93</v>
      </c>
      <c r="D76" s="16" t="s">
        <v>93</v>
      </c>
      <c r="E76" s="16" t="s">
        <v>94</v>
      </c>
      <c r="F76" s="16" t="s">
        <v>19</v>
      </c>
      <c r="G76" t="s">
        <v>233</v>
      </c>
      <c r="H76" s="17" t="s">
        <v>234</v>
      </c>
      <c r="I76" s="17" t="s">
        <v>473</v>
      </c>
      <c r="J76" s="18">
        <v>46112</v>
      </c>
      <c r="K76" s="19">
        <v>4.5</v>
      </c>
      <c r="L76" s="20">
        <v>26.26</v>
      </c>
      <c r="M76" s="21">
        <v>1</v>
      </c>
      <c r="N76" s="22">
        <v>-118.17</v>
      </c>
      <c r="O76" s="21">
        <v>0.01</v>
      </c>
      <c r="P76" s="22">
        <f t="shared" si="1"/>
        <v>-1.1817</v>
      </c>
      <c r="Q76" s="16" t="s">
        <v>238</v>
      </c>
    </row>
    <row r="77" spans="1:17" x14ac:dyDescent="0.25">
      <c r="A77" s="16" t="s">
        <v>92</v>
      </c>
      <c r="B77" s="16" t="s">
        <v>93</v>
      </c>
      <c r="C77" s="16" t="s">
        <v>93</v>
      </c>
      <c r="D77" s="16" t="s">
        <v>93</v>
      </c>
      <c r="E77" s="16" t="s">
        <v>94</v>
      </c>
      <c r="F77" s="16" t="s">
        <v>19</v>
      </c>
      <c r="G77" t="s">
        <v>233</v>
      </c>
      <c r="H77" s="17" t="s">
        <v>247</v>
      </c>
      <c r="I77" s="17" t="s">
        <v>474</v>
      </c>
      <c r="J77" s="18">
        <v>46112</v>
      </c>
      <c r="K77" s="19">
        <v>3</v>
      </c>
      <c r="L77" s="20">
        <v>27.29</v>
      </c>
      <c r="M77" s="21">
        <v>1</v>
      </c>
      <c r="N77" s="22">
        <v>-81.87</v>
      </c>
      <c r="O77" s="21">
        <v>0.01</v>
      </c>
      <c r="P77" s="22">
        <f t="shared" si="1"/>
        <v>-0.81870000000000009</v>
      </c>
      <c r="Q77" s="16" t="s">
        <v>238</v>
      </c>
    </row>
    <row r="78" spans="1:17" x14ac:dyDescent="0.25">
      <c r="A78" s="16" t="s">
        <v>92</v>
      </c>
      <c r="B78" s="16" t="s">
        <v>93</v>
      </c>
      <c r="C78" s="16" t="s">
        <v>93</v>
      </c>
      <c r="D78" s="16" t="s">
        <v>93</v>
      </c>
      <c r="E78" s="16" t="s">
        <v>94</v>
      </c>
      <c r="F78" s="16" t="s">
        <v>19</v>
      </c>
      <c r="G78" t="s">
        <v>233</v>
      </c>
      <c r="H78" s="17" t="s">
        <v>236</v>
      </c>
      <c r="I78" s="17" t="s">
        <v>475</v>
      </c>
      <c r="J78" s="18">
        <v>46112</v>
      </c>
      <c r="K78" s="19">
        <v>6</v>
      </c>
      <c r="L78" s="20">
        <v>27.29</v>
      </c>
      <c r="M78" s="21">
        <v>1</v>
      </c>
      <c r="N78" s="22">
        <v>-163.74</v>
      </c>
      <c r="O78" s="21">
        <v>0.01</v>
      </c>
      <c r="P78" s="22">
        <f t="shared" si="1"/>
        <v>-1.6374000000000002</v>
      </c>
      <c r="Q78" s="16" t="s">
        <v>238</v>
      </c>
    </row>
    <row r="79" spans="1:17" x14ac:dyDescent="0.25">
      <c r="A79" s="16" t="s">
        <v>92</v>
      </c>
      <c r="B79" s="16" t="s">
        <v>93</v>
      </c>
      <c r="C79" s="16" t="s">
        <v>93</v>
      </c>
      <c r="D79" s="16" t="s">
        <v>93</v>
      </c>
      <c r="E79" s="16" t="s">
        <v>94</v>
      </c>
      <c r="F79" s="16" t="s">
        <v>19</v>
      </c>
      <c r="G79" t="s">
        <v>233</v>
      </c>
      <c r="H79" s="17" t="s">
        <v>236</v>
      </c>
      <c r="I79" s="17" t="s">
        <v>476</v>
      </c>
      <c r="J79" s="18">
        <v>46112</v>
      </c>
      <c r="K79" s="19">
        <v>9</v>
      </c>
      <c r="L79" s="20">
        <v>27.29</v>
      </c>
      <c r="M79" s="21">
        <v>1</v>
      </c>
      <c r="N79" s="22">
        <v>-245.61</v>
      </c>
      <c r="O79" s="21">
        <v>0.01</v>
      </c>
      <c r="P79" s="22">
        <f t="shared" si="1"/>
        <v>-2.4561000000000002</v>
      </c>
      <c r="Q79" s="16" t="s">
        <v>238</v>
      </c>
    </row>
    <row r="80" spans="1:17" x14ac:dyDescent="0.25">
      <c r="A80" s="16" t="s">
        <v>92</v>
      </c>
      <c r="B80" s="16" t="s">
        <v>93</v>
      </c>
      <c r="C80" s="16" t="s">
        <v>93</v>
      </c>
      <c r="D80" s="16" t="s">
        <v>93</v>
      </c>
      <c r="E80" s="16" t="s">
        <v>94</v>
      </c>
      <c r="F80" s="16" t="s">
        <v>19</v>
      </c>
      <c r="G80" t="s">
        <v>233</v>
      </c>
      <c r="H80" s="17" t="s">
        <v>236</v>
      </c>
      <c r="I80" s="17" t="s">
        <v>477</v>
      </c>
      <c r="J80" s="18">
        <v>46112</v>
      </c>
      <c r="K80" s="19">
        <v>3</v>
      </c>
      <c r="L80" s="20">
        <v>27.29</v>
      </c>
      <c r="M80" s="21">
        <v>1</v>
      </c>
      <c r="N80" s="22">
        <v>-81.87</v>
      </c>
      <c r="O80" s="21">
        <v>0.01</v>
      </c>
      <c r="P80" s="22">
        <f t="shared" si="1"/>
        <v>-0.81870000000000009</v>
      </c>
      <c r="Q80" s="16" t="s">
        <v>238</v>
      </c>
    </row>
    <row r="81" spans="1:17" x14ac:dyDescent="0.25">
      <c r="A81" s="16" t="s">
        <v>92</v>
      </c>
      <c r="B81" s="16" t="s">
        <v>93</v>
      </c>
      <c r="C81" s="16" t="s">
        <v>93</v>
      </c>
      <c r="D81" s="16" t="s">
        <v>93</v>
      </c>
      <c r="E81" s="16" t="s">
        <v>94</v>
      </c>
      <c r="F81" s="16" t="s">
        <v>19</v>
      </c>
      <c r="G81" t="s">
        <v>233</v>
      </c>
      <c r="H81" s="17" t="s">
        <v>247</v>
      </c>
      <c r="I81" s="17" t="s">
        <v>478</v>
      </c>
      <c r="J81" s="18">
        <v>46112</v>
      </c>
      <c r="K81" s="19">
        <v>3</v>
      </c>
      <c r="L81" s="20">
        <v>27.29</v>
      </c>
      <c r="M81" s="21">
        <v>1</v>
      </c>
      <c r="N81" s="22">
        <v>-81.87</v>
      </c>
      <c r="O81" s="21">
        <v>0.01</v>
      </c>
      <c r="P81" s="22">
        <f t="shared" si="1"/>
        <v>-0.81870000000000009</v>
      </c>
      <c r="Q81" s="16" t="s">
        <v>238</v>
      </c>
    </row>
    <row r="82" spans="1:17" x14ac:dyDescent="0.25">
      <c r="A82" s="16" t="s">
        <v>92</v>
      </c>
      <c r="B82" s="16" t="s">
        <v>93</v>
      </c>
      <c r="C82" s="16" t="s">
        <v>93</v>
      </c>
      <c r="D82" s="16" t="s">
        <v>93</v>
      </c>
      <c r="E82" s="16" t="s">
        <v>94</v>
      </c>
      <c r="F82" s="16" t="s">
        <v>19</v>
      </c>
      <c r="G82" t="s">
        <v>233</v>
      </c>
      <c r="H82" s="17" t="s">
        <v>234</v>
      </c>
      <c r="I82" s="17" t="s">
        <v>479</v>
      </c>
      <c r="J82" s="18">
        <v>46112</v>
      </c>
      <c r="K82" s="19">
        <v>4.5</v>
      </c>
      <c r="L82" s="20">
        <v>26.26</v>
      </c>
      <c r="M82" s="21">
        <v>1</v>
      </c>
      <c r="N82" s="22">
        <v>-118.17</v>
      </c>
      <c r="O82" s="21">
        <v>0.01</v>
      </c>
      <c r="P82" s="22">
        <f t="shared" si="1"/>
        <v>-1.1817</v>
      </c>
      <c r="Q82" s="16" t="s">
        <v>238</v>
      </c>
    </row>
    <row r="83" spans="1:17" x14ac:dyDescent="0.25">
      <c r="A83" s="16" t="s">
        <v>92</v>
      </c>
      <c r="B83" s="16" t="s">
        <v>93</v>
      </c>
      <c r="C83" s="16" t="s">
        <v>93</v>
      </c>
      <c r="D83" s="16" t="s">
        <v>93</v>
      </c>
      <c r="E83" s="16" t="s">
        <v>160</v>
      </c>
      <c r="F83" s="16" t="s">
        <v>72</v>
      </c>
      <c r="G83" t="s">
        <v>266</v>
      </c>
      <c r="H83" s="17" t="s">
        <v>267</v>
      </c>
      <c r="I83" s="17" t="s">
        <v>480</v>
      </c>
      <c r="J83" s="18">
        <v>46090</v>
      </c>
      <c r="K83" s="19">
        <v>96000</v>
      </c>
      <c r="L83" s="20">
        <v>0.12</v>
      </c>
      <c r="M83" s="21">
        <v>1</v>
      </c>
      <c r="N83" s="22">
        <v>11520</v>
      </c>
      <c r="O83" s="21">
        <v>0.03</v>
      </c>
      <c r="P83" s="22">
        <f t="shared" si="1"/>
        <v>345.59999999999997</v>
      </c>
      <c r="Q83" s="16" t="s">
        <v>164</v>
      </c>
    </row>
    <row r="84" spans="1:17" x14ac:dyDescent="0.25">
      <c r="A84" s="16" t="s">
        <v>92</v>
      </c>
      <c r="B84" s="16" t="s">
        <v>93</v>
      </c>
      <c r="C84" s="16" t="s">
        <v>93</v>
      </c>
      <c r="D84" s="16" t="s">
        <v>93</v>
      </c>
      <c r="E84" s="16" t="s">
        <v>160</v>
      </c>
      <c r="F84" s="16" t="s">
        <v>72</v>
      </c>
      <c r="G84" t="s">
        <v>266</v>
      </c>
      <c r="H84" s="17" t="s">
        <v>267</v>
      </c>
      <c r="I84" s="17" t="s">
        <v>481</v>
      </c>
      <c r="J84" s="18">
        <v>46083</v>
      </c>
      <c r="K84" s="19">
        <v>48000</v>
      </c>
      <c r="L84" s="20">
        <v>0.12</v>
      </c>
      <c r="M84" s="21">
        <v>1</v>
      </c>
      <c r="N84" s="22">
        <v>5760</v>
      </c>
      <c r="O84" s="21">
        <v>0.03</v>
      </c>
      <c r="P84" s="22">
        <f t="shared" si="1"/>
        <v>172.79999999999998</v>
      </c>
      <c r="Q84" s="16" t="s">
        <v>164</v>
      </c>
    </row>
    <row r="85" spans="1:17" x14ac:dyDescent="0.25">
      <c r="A85" s="16" t="s">
        <v>92</v>
      </c>
      <c r="B85" s="16" t="s">
        <v>93</v>
      </c>
      <c r="C85" s="16" t="s">
        <v>93</v>
      </c>
      <c r="D85" s="16" t="s">
        <v>93</v>
      </c>
      <c r="E85" s="16" t="s">
        <v>94</v>
      </c>
      <c r="F85" s="16" t="s">
        <v>72</v>
      </c>
      <c r="G85" t="s">
        <v>266</v>
      </c>
      <c r="H85" s="17" t="s">
        <v>269</v>
      </c>
      <c r="I85" s="17" t="s">
        <v>482</v>
      </c>
      <c r="J85" s="18">
        <v>46090</v>
      </c>
      <c r="K85" s="19">
        <v>15</v>
      </c>
      <c r="L85" s="20">
        <v>34.369999999999997</v>
      </c>
      <c r="M85" s="21">
        <v>1</v>
      </c>
      <c r="N85" s="22">
        <v>515.54999999999995</v>
      </c>
      <c r="O85" s="21">
        <v>0.03</v>
      </c>
      <c r="P85" s="22">
        <f t="shared" si="1"/>
        <v>15.466499999999998</v>
      </c>
      <c r="Q85" s="16" t="s">
        <v>101</v>
      </c>
    </row>
    <row r="86" spans="1:17" x14ac:dyDescent="0.25">
      <c r="A86" s="16" t="s">
        <v>92</v>
      </c>
      <c r="B86" s="16" t="s">
        <v>93</v>
      </c>
      <c r="C86" s="16" t="s">
        <v>93</v>
      </c>
      <c r="D86" s="16" t="s">
        <v>93</v>
      </c>
      <c r="E86" s="16" t="s">
        <v>94</v>
      </c>
      <c r="F86" s="16" t="s">
        <v>72</v>
      </c>
      <c r="G86" t="s">
        <v>266</v>
      </c>
      <c r="H86" s="17" t="s">
        <v>269</v>
      </c>
      <c r="I86" s="17" t="s">
        <v>483</v>
      </c>
      <c r="J86" s="18">
        <v>46104</v>
      </c>
      <c r="K86" s="19">
        <v>50</v>
      </c>
      <c r="L86" s="20">
        <v>34.369999999999997</v>
      </c>
      <c r="M86" s="21">
        <v>1</v>
      </c>
      <c r="N86" s="22">
        <v>1718.5</v>
      </c>
      <c r="O86" s="21">
        <v>0.03</v>
      </c>
      <c r="P86" s="22">
        <f t="shared" si="1"/>
        <v>51.555</v>
      </c>
      <c r="Q86" s="16" t="s">
        <v>101</v>
      </c>
    </row>
    <row r="87" spans="1:17" x14ac:dyDescent="0.25">
      <c r="A87" s="16" t="s">
        <v>92</v>
      </c>
      <c r="B87" s="16" t="s">
        <v>93</v>
      </c>
      <c r="C87" s="16" t="s">
        <v>93</v>
      </c>
      <c r="D87" s="16" t="s">
        <v>484</v>
      </c>
      <c r="E87" s="16" t="s">
        <v>160</v>
      </c>
      <c r="F87" s="16" t="s">
        <v>52</v>
      </c>
      <c r="G87" t="s">
        <v>485</v>
      </c>
      <c r="H87" s="17" t="s">
        <v>486</v>
      </c>
      <c r="I87" s="17" t="s">
        <v>487</v>
      </c>
      <c r="J87" s="18">
        <v>46101</v>
      </c>
      <c r="K87" s="19">
        <v>1250</v>
      </c>
      <c r="L87" s="20">
        <v>0.80200000000000005</v>
      </c>
      <c r="M87" s="21">
        <v>0.33</v>
      </c>
      <c r="N87" s="22">
        <v>330.82499999999999</v>
      </c>
      <c r="O87" s="21">
        <v>0.03</v>
      </c>
      <c r="P87" s="22">
        <f t="shared" si="1"/>
        <v>9.9247499999999995</v>
      </c>
      <c r="Q87" s="16" t="s">
        <v>164</v>
      </c>
    </row>
    <row r="88" spans="1:17" x14ac:dyDescent="0.25">
      <c r="A88" s="16" t="s">
        <v>92</v>
      </c>
      <c r="B88" s="16" t="s">
        <v>93</v>
      </c>
      <c r="C88" s="16" t="s">
        <v>93</v>
      </c>
      <c r="D88" s="16" t="s">
        <v>484</v>
      </c>
      <c r="E88" s="16" t="s">
        <v>160</v>
      </c>
      <c r="F88" s="16" t="s">
        <v>52</v>
      </c>
      <c r="G88" t="s">
        <v>485</v>
      </c>
      <c r="H88" s="17" t="s">
        <v>486</v>
      </c>
      <c r="I88" s="17" t="s">
        <v>488</v>
      </c>
      <c r="J88" s="18">
        <v>46101</v>
      </c>
      <c r="K88" s="19">
        <v>1250</v>
      </c>
      <c r="L88" s="20">
        <v>0.80200000000000005</v>
      </c>
      <c r="M88" s="21">
        <v>0.33</v>
      </c>
      <c r="N88" s="22">
        <v>330.82499999999999</v>
      </c>
      <c r="O88" s="21">
        <v>0.03</v>
      </c>
      <c r="P88" s="22">
        <f t="shared" si="1"/>
        <v>9.9247499999999995</v>
      </c>
      <c r="Q88" s="16" t="s">
        <v>164</v>
      </c>
    </row>
    <row r="89" spans="1:17" x14ac:dyDescent="0.25">
      <c r="A89" s="16" t="s">
        <v>92</v>
      </c>
      <c r="B89" s="16" t="s">
        <v>93</v>
      </c>
      <c r="C89" s="16" t="s">
        <v>93</v>
      </c>
      <c r="D89" s="16" t="s">
        <v>484</v>
      </c>
      <c r="E89" s="16" t="s">
        <v>94</v>
      </c>
      <c r="F89" s="16" t="s">
        <v>52</v>
      </c>
      <c r="G89" t="s">
        <v>485</v>
      </c>
      <c r="H89" s="17" t="s">
        <v>489</v>
      </c>
      <c r="I89" s="17" t="s">
        <v>490</v>
      </c>
      <c r="J89" s="18">
        <v>46091</v>
      </c>
      <c r="K89" s="19">
        <v>6</v>
      </c>
      <c r="L89" s="20">
        <v>49.39</v>
      </c>
      <c r="M89" s="21">
        <v>0.33</v>
      </c>
      <c r="N89" s="22">
        <v>97.792199999999994</v>
      </c>
      <c r="O89" s="21">
        <v>0.03</v>
      </c>
      <c r="P89" s="22">
        <f t="shared" si="1"/>
        <v>2.9337659999999999</v>
      </c>
      <c r="Q89" s="1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CEC8-1715-4769-8253-562FADD9A478}">
  <sheetPr codeName="Sheet8"/>
  <dimension ref="A1:U80"/>
  <sheetViews>
    <sheetView topLeftCell="L1" workbookViewId="0">
      <selection activeCell="S3" sqref="S3"/>
    </sheetView>
  </sheetViews>
  <sheetFormatPr defaultRowHeight="15" x14ac:dyDescent="0.25"/>
  <cols>
    <col min="1" max="1" width="6.140625" customWidth="1"/>
    <col min="2" max="2" width="8.7109375" customWidth="1"/>
    <col min="3" max="3" width="7.140625" customWidth="1"/>
    <col min="4" max="4" width="10.85546875" customWidth="1"/>
    <col min="5" max="5" width="10.42578125" customWidth="1"/>
    <col min="6" max="6" width="7" customWidth="1"/>
    <col min="7" max="7" width="58.140625" customWidth="1"/>
    <col min="8" max="8" width="20" customWidth="1"/>
    <col min="9" max="9" width="13.140625" customWidth="1"/>
    <col min="10" max="10" width="12.42578125" customWidth="1"/>
    <col min="11" max="11" width="11.140625" customWidth="1"/>
    <col min="12" max="12" width="10.5703125" customWidth="1"/>
    <col min="13" max="13" width="15.85546875" customWidth="1"/>
    <col min="14" max="14" width="12.140625" customWidth="1"/>
    <col min="15" max="15" width="11.7109375" customWidth="1"/>
    <col min="16" max="16" width="14.42578125" customWidth="1"/>
    <col min="17" max="17" width="15.7109375" customWidth="1"/>
    <col min="19" max="19" width="13.42578125" bestFit="1" customWidth="1"/>
    <col min="20" max="20" width="16" bestFit="1" customWidth="1"/>
    <col min="21" max="21" width="19.42578125" bestFit="1" customWidth="1"/>
  </cols>
  <sheetData>
    <row r="1" spans="1:21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</row>
    <row r="2" spans="1:21" x14ac:dyDescent="0.25">
      <c r="A2" s="16" t="s">
        <v>92</v>
      </c>
      <c r="B2" s="16" t="s">
        <v>93</v>
      </c>
      <c r="C2" s="16" t="s">
        <v>93</v>
      </c>
      <c r="D2" s="16" t="s">
        <v>93</v>
      </c>
      <c r="E2" s="16" t="s">
        <v>94</v>
      </c>
      <c r="F2" s="16" t="s">
        <v>0</v>
      </c>
      <c r="G2" t="s">
        <v>95</v>
      </c>
      <c r="H2" s="17" t="s">
        <v>296</v>
      </c>
      <c r="I2" s="17" t="s">
        <v>297</v>
      </c>
      <c r="J2" s="18">
        <v>46079</v>
      </c>
      <c r="K2" s="19">
        <v>10</v>
      </c>
      <c r="L2" s="20">
        <v>49.43</v>
      </c>
      <c r="M2" s="21">
        <v>1</v>
      </c>
      <c r="N2" s="22">
        <v>-494.3</v>
      </c>
      <c r="O2" s="21">
        <v>0.03</v>
      </c>
      <c r="P2" s="22">
        <f t="shared" ref="P2:P65" si="0">N2 * O2</f>
        <v>-14.829000000000001</v>
      </c>
      <c r="Q2" s="16" t="s">
        <v>238</v>
      </c>
    </row>
    <row r="3" spans="1:21" x14ac:dyDescent="0.25">
      <c r="A3" s="16" t="s">
        <v>92</v>
      </c>
      <c r="B3" s="16" t="s">
        <v>93</v>
      </c>
      <c r="C3" s="16" t="s">
        <v>93</v>
      </c>
      <c r="D3" s="16" t="s">
        <v>93</v>
      </c>
      <c r="E3" s="16" t="s">
        <v>160</v>
      </c>
      <c r="F3" s="16" t="s">
        <v>0</v>
      </c>
      <c r="G3" t="s">
        <v>95</v>
      </c>
      <c r="H3" s="17" t="s">
        <v>298</v>
      </c>
      <c r="I3" s="17" t="s">
        <v>299</v>
      </c>
      <c r="J3" s="18">
        <v>46076</v>
      </c>
      <c r="K3" s="19">
        <v>100</v>
      </c>
      <c r="L3" s="20">
        <v>43.532299999999999</v>
      </c>
      <c r="M3" s="21">
        <v>1</v>
      </c>
      <c r="N3" s="22">
        <v>4353.2299999999996</v>
      </c>
      <c r="O3" s="21">
        <v>0.03</v>
      </c>
      <c r="P3" s="22">
        <f t="shared" si="0"/>
        <v>130.59689999999998</v>
      </c>
      <c r="Q3" s="16" t="s">
        <v>164</v>
      </c>
      <c r="S3" t="s">
        <v>102</v>
      </c>
      <c r="T3" t="s">
        <v>103</v>
      </c>
      <c r="U3" t="s">
        <v>104</v>
      </c>
    </row>
    <row r="4" spans="1:21" x14ac:dyDescent="0.25">
      <c r="A4" s="16" t="s">
        <v>92</v>
      </c>
      <c r="B4" s="16" t="s">
        <v>93</v>
      </c>
      <c r="C4" s="16" t="s">
        <v>93</v>
      </c>
      <c r="D4" s="16" t="s">
        <v>93</v>
      </c>
      <c r="E4" s="16" t="s">
        <v>160</v>
      </c>
      <c r="F4" s="16" t="s">
        <v>0</v>
      </c>
      <c r="G4" t="s">
        <v>95</v>
      </c>
      <c r="H4" s="17" t="s">
        <v>300</v>
      </c>
      <c r="I4" s="17" t="s">
        <v>301</v>
      </c>
      <c r="J4" s="18">
        <v>46062</v>
      </c>
      <c r="K4" s="19">
        <v>300</v>
      </c>
      <c r="L4" s="20">
        <v>23.070499999999999</v>
      </c>
      <c r="M4" s="21">
        <v>1</v>
      </c>
      <c r="N4" s="22">
        <v>6921.15</v>
      </c>
      <c r="O4" s="21">
        <v>0.03</v>
      </c>
      <c r="P4" s="22">
        <f t="shared" si="0"/>
        <v>207.63449999999997</v>
      </c>
      <c r="Q4" s="16" t="s">
        <v>164</v>
      </c>
      <c r="S4" s="23" t="s">
        <v>0</v>
      </c>
      <c r="T4" s="24">
        <v>11274.379999999997</v>
      </c>
      <c r="U4" s="24">
        <v>338.23139999999995</v>
      </c>
    </row>
    <row r="5" spans="1:21" x14ac:dyDescent="0.25">
      <c r="A5" s="16" t="s">
        <v>92</v>
      </c>
      <c r="B5" s="16" t="s">
        <v>93</v>
      </c>
      <c r="C5" s="16" t="s">
        <v>93</v>
      </c>
      <c r="D5" s="16" t="s">
        <v>93</v>
      </c>
      <c r="E5" s="16" t="s">
        <v>202</v>
      </c>
      <c r="F5" s="16" t="s">
        <v>0</v>
      </c>
      <c r="G5" t="s">
        <v>95</v>
      </c>
      <c r="H5" s="17" t="s">
        <v>296</v>
      </c>
      <c r="I5" s="17" t="s">
        <v>302</v>
      </c>
      <c r="J5" s="18">
        <v>46066</v>
      </c>
      <c r="K5" s="19">
        <v>10</v>
      </c>
      <c r="L5" s="20">
        <v>49.43</v>
      </c>
      <c r="M5" s="21">
        <v>1</v>
      </c>
      <c r="N5" s="22">
        <v>494.3</v>
      </c>
      <c r="O5" s="21">
        <v>0.03</v>
      </c>
      <c r="P5" s="22">
        <f t="shared" si="0"/>
        <v>14.829000000000001</v>
      </c>
      <c r="Q5" s="16" t="s">
        <v>303</v>
      </c>
      <c r="S5" s="23" t="s">
        <v>1</v>
      </c>
      <c r="T5" s="24">
        <v>31411.540000000005</v>
      </c>
      <c r="U5" s="24">
        <v>1018.6022</v>
      </c>
    </row>
    <row r="6" spans="1:21" x14ac:dyDescent="0.25">
      <c r="A6" s="16" t="s">
        <v>92</v>
      </c>
      <c r="B6" s="16" t="s">
        <v>93</v>
      </c>
      <c r="C6" s="16" t="s">
        <v>93</v>
      </c>
      <c r="D6" s="16" t="s">
        <v>93</v>
      </c>
      <c r="E6" s="16" t="s">
        <v>94</v>
      </c>
      <c r="F6" s="16" t="s">
        <v>1</v>
      </c>
      <c r="G6" t="s">
        <v>110</v>
      </c>
      <c r="H6" s="17" t="s">
        <v>132</v>
      </c>
      <c r="I6" s="17" t="s">
        <v>304</v>
      </c>
      <c r="J6" s="18">
        <v>46065</v>
      </c>
      <c r="K6" s="19">
        <v>18</v>
      </c>
      <c r="L6" s="20">
        <v>41.64</v>
      </c>
      <c r="M6" s="21">
        <v>1</v>
      </c>
      <c r="N6" s="22">
        <v>749.52</v>
      </c>
      <c r="O6" s="21">
        <v>0.03</v>
      </c>
      <c r="P6" s="22">
        <f t="shared" si="0"/>
        <v>22.485599999999998</v>
      </c>
      <c r="Q6" s="16" t="s">
        <v>101</v>
      </c>
      <c r="S6" s="23" t="s">
        <v>2</v>
      </c>
      <c r="T6" s="24">
        <v>13389.91</v>
      </c>
      <c r="U6" s="24">
        <v>401.69729999999998</v>
      </c>
    </row>
    <row r="7" spans="1:21" x14ac:dyDescent="0.25">
      <c r="A7" s="16" t="s">
        <v>92</v>
      </c>
      <c r="B7" s="16" t="s">
        <v>93</v>
      </c>
      <c r="C7" s="16" t="s">
        <v>93</v>
      </c>
      <c r="D7" s="16" t="s">
        <v>93</v>
      </c>
      <c r="E7" s="16" t="s">
        <v>94</v>
      </c>
      <c r="F7" s="16" t="s">
        <v>1</v>
      </c>
      <c r="G7" t="s">
        <v>110</v>
      </c>
      <c r="H7" s="17" t="s">
        <v>139</v>
      </c>
      <c r="I7" s="17" t="s">
        <v>305</v>
      </c>
      <c r="J7" s="18">
        <v>46080</v>
      </c>
      <c r="K7" s="19">
        <v>10</v>
      </c>
      <c r="L7" s="20">
        <v>41.64</v>
      </c>
      <c r="M7" s="21">
        <v>1</v>
      </c>
      <c r="N7" s="22">
        <v>416.4</v>
      </c>
      <c r="O7" s="21">
        <v>0.03</v>
      </c>
      <c r="P7" s="22">
        <f t="shared" si="0"/>
        <v>12.491999999999999</v>
      </c>
      <c r="Q7" s="16" t="s">
        <v>101</v>
      </c>
      <c r="S7" s="23" t="s">
        <v>57</v>
      </c>
      <c r="T7" s="24">
        <v>646.79999999999995</v>
      </c>
      <c r="U7" s="24">
        <v>19.403999999999996</v>
      </c>
    </row>
    <row r="8" spans="1:21" x14ac:dyDescent="0.25">
      <c r="A8" s="16" t="s">
        <v>92</v>
      </c>
      <c r="B8" s="16" t="s">
        <v>93</v>
      </c>
      <c r="C8" s="16" t="s">
        <v>93</v>
      </c>
      <c r="D8" s="16" t="s">
        <v>93</v>
      </c>
      <c r="E8" s="16" t="s">
        <v>94</v>
      </c>
      <c r="F8" s="16" t="s">
        <v>1</v>
      </c>
      <c r="G8" t="s">
        <v>110</v>
      </c>
      <c r="H8" s="17" t="s">
        <v>132</v>
      </c>
      <c r="I8" s="17" t="s">
        <v>305</v>
      </c>
      <c r="J8" s="18">
        <v>46080</v>
      </c>
      <c r="K8" s="19">
        <v>24</v>
      </c>
      <c r="L8" s="20">
        <v>41.64</v>
      </c>
      <c r="M8" s="21">
        <v>1</v>
      </c>
      <c r="N8" s="22">
        <v>999.36</v>
      </c>
      <c r="O8" s="21">
        <v>0.03</v>
      </c>
      <c r="P8" s="22">
        <f t="shared" si="0"/>
        <v>29.980799999999999</v>
      </c>
      <c r="Q8" s="16" t="s">
        <v>101</v>
      </c>
      <c r="S8" s="23" t="s">
        <v>7</v>
      </c>
      <c r="T8" s="24">
        <v>3187.2</v>
      </c>
      <c r="U8" s="24">
        <v>95.615999999999985</v>
      </c>
    </row>
    <row r="9" spans="1:21" x14ac:dyDescent="0.25">
      <c r="A9" s="16" t="s">
        <v>92</v>
      </c>
      <c r="B9" s="16" t="s">
        <v>93</v>
      </c>
      <c r="C9" s="16" t="s">
        <v>93</v>
      </c>
      <c r="D9" s="16" t="s">
        <v>93</v>
      </c>
      <c r="E9" s="16" t="s">
        <v>94</v>
      </c>
      <c r="F9" s="16" t="s">
        <v>1</v>
      </c>
      <c r="G9" t="s">
        <v>110</v>
      </c>
      <c r="H9" s="17" t="s">
        <v>139</v>
      </c>
      <c r="I9" s="17" t="s">
        <v>306</v>
      </c>
      <c r="J9" s="18">
        <v>46059</v>
      </c>
      <c r="K9" s="19">
        <v>5</v>
      </c>
      <c r="L9" s="20">
        <v>41.64</v>
      </c>
      <c r="M9" s="21">
        <v>1</v>
      </c>
      <c r="N9" s="22">
        <v>208.2</v>
      </c>
      <c r="O9" s="21">
        <v>0.03</v>
      </c>
      <c r="P9" s="22">
        <f t="shared" si="0"/>
        <v>6.2459999999999996</v>
      </c>
      <c r="Q9" s="16" t="s">
        <v>101</v>
      </c>
      <c r="S9" s="23" t="s">
        <v>8</v>
      </c>
      <c r="T9" s="24">
        <v>4919.17</v>
      </c>
      <c r="U9" s="24">
        <v>147.57509999999999</v>
      </c>
    </row>
    <row r="10" spans="1:21" x14ac:dyDescent="0.25">
      <c r="A10" s="16" t="s">
        <v>92</v>
      </c>
      <c r="B10" s="16" t="s">
        <v>93</v>
      </c>
      <c r="C10" s="16" t="s">
        <v>93</v>
      </c>
      <c r="D10" s="16" t="s">
        <v>93</v>
      </c>
      <c r="E10" s="16" t="s">
        <v>94</v>
      </c>
      <c r="F10" s="16" t="s">
        <v>1</v>
      </c>
      <c r="G10" t="s">
        <v>110</v>
      </c>
      <c r="H10" s="17" t="s">
        <v>132</v>
      </c>
      <c r="I10" s="17" t="s">
        <v>306</v>
      </c>
      <c r="J10" s="18">
        <v>46059</v>
      </c>
      <c r="K10" s="19">
        <v>18</v>
      </c>
      <c r="L10" s="20">
        <v>41.64</v>
      </c>
      <c r="M10" s="21">
        <v>1</v>
      </c>
      <c r="N10" s="22">
        <v>749.52</v>
      </c>
      <c r="O10" s="21">
        <v>0.03</v>
      </c>
      <c r="P10" s="22">
        <f t="shared" si="0"/>
        <v>22.485599999999998</v>
      </c>
      <c r="Q10" s="16" t="s">
        <v>101</v>
      </c>
      <c r="S10" s="23" t="s">
        <v>9</v>
      </c>
      <c r="T10" s="24">
        <v>8463</v>
      </c>
      <c r="U10" s="24">
        <v>253.89</v>
      </c>
    </row>
    <row r="11" spans="1:21" x14ac:dyDescent="0.25">
      <c r="A11" s="16" t="s">
        <v>92</v>
      </c>
      <c r="B11" s="16" t="s">
        <v>93</v>
      </c>
      <c r="C11" s="16" t="s">
        <v>93</v>
      </c>
      <c r="D11" s="16" t="s">
        <v>93</v>
      </c>
      <c r="E11" s="16" t="s">
        <v>94</v>
      </c>
      <c r="F11" s="16" t="s">
        <v>1</v>
      </c>
      <c r="G11" t="s">
        <v>110</v>
      </c>
      <c r="H11" s="17" t="s">
        <v>139</v>
      </c>
      <c r="I11" s="17" t="s">
        <v>307</v>
      </c>
      <c r="J11" s="18">
        <v>46065</v>
      </c>
      <c r="K11" s="19">
        <v>5</v>
      </c>
      <c r="L11" s="20">
        <v>41.64</v>
      </c>
      <c r="M11" s="21">
        <v>1</v>
      </c>
      <c r="N11" s="22">
        <v>208.2</v>
      </c>
      <c r="O11" s="21">
        <v>0.03</v>
      </c>
      <c r="P11" s="22">
        <f t="shared" si="0"/>
        <v>6.2459999999999996</v>
      </c>
      <c r="Q11" s="16" t="s">
        <v>101</v>
      </c>
      <c r="S11" s="23" t="s">
        <v>10</v>
      </c>
      <c r="T11" s="24">
        <v>4393.59</v>
      </c>
      <c r="U11" s="24">
        <v>131.80770000000001</v>
      </c>
    </row>
    <row r="12" spans="1:21" x14ac:dyDescent="0.25">
      <c r="A12" s="16" t="s">
        <v>92</v>
      </c>
      <c r="B12" s="16" t="s">
        <v>93</v>
      </c>
      <c r="C12" s="16" t="s">
        <v>93</v>
      </c>
      <c r="D12" s="16" t="s">
        <v>93</v>
      </c>
      <c r="E12" s="16" t="s">
        <v>115</v>
      </c>
      <c r="F12" s="16" t="s">
        <v>1</v>
      </c>
      <c r="G12" t="s">
        <v>110</v>
      </c>
      <c r="H12" s="17" t="s">
        <v>119</v>
      </c>
      <c r="I12" s="17" t="s">
        <v>308</v>
      </c>
      <c r="J12" s="18">
        <v>46065</v>
      </c>
      <c r="K12" s="19">
        <v>3</v>
      </c>
      <c r="L12" s="20">
        <v>286.64999999999998</v>
      </c>
      <c r="M12" s="21">
        <v>1</v>
      </c>
      <c r="N12" s="22">
        <v>859.95</v>
      </c>
      <c r="O12" s="21">
        <v>0.05</v>
      </c>
      <c r="P12" s="22">
        <f t="shared" si="0"/>
        <v>42.997500000000002</v>
      </c>
      <c r="Q12" s="16" t="s">
        <v>121</v>
      </c>
      <c r="S12" s="23" t="s">
        <v>13</v>
      </c>
      <c r="T12" s="24">
        <v>5096.79</v>
      </c>
      <c r="U12" s="24">
        <v>152.90369999999999</v>
      </c>
    </row>
    <row r="13" spans="1:21" x14ac:dyDescent="0.25">
      <c r="A13" s="16" t="s">
        <v>92</v>
      </c>
      <c r="B13" s="16" t="s">
        <v>93</v>
      </c>
      <c r="C13" s="16" t="s">
        <v>93</v>
      </c>
      <c r="D13" s="16" t="s">
        <v>93</v>
      </c>
      <c r="E13" s="16" t="s">
        <v>115</v>
      </c>
      <c r="F13" s="16" t="s">
        <v>1</v>
      </c>
      <c r="G13" t="s">
        <v>110</v>
      </c>
      <c r="H13" s="17" t="s">
        <v>309</v>
      </c>
      <c r="I13" s="17" t="s">
        <v>310</v>
      </c>
      <c r="J13" s="18">
        <v>46080</v>
      </c>
      <c r="K13" s="19">
        <v>4</v>
      </c>
      <c r="L13" s="20">
        <v>133.31</v>
      </c>
      <c r="M13" s="21">
        <v>1</v>
      </c>
      <c r="N13" s="22">
        <v>533.24</v>
      </c>
      <c r="O13" s="21">
        <v>0.05</v>
      </c>
      <c r="P13" s="22">
        <f t="shared" si="0"/>
        <v>26.662000000000003</v>
      </c>
      <c r="Q13" s="16" t="s">
        <v>121</v>
      </c>
      <c r="S13" s="23" t="s">
        <v>15</v>
      </c>
      <c r="T13" s="24">
        <v>10489.54</v>
      </c>
      <c r="U13" s="24">
        <v>314.68619999999999</v>
      </c>
    </row>
    <row r="14" spans="1:21" x14ac:dyDescent="0.25">
      <c r="A14" s="16" t="s">
        <v>92</v>
      </c>
      <c r="B14" s="16" t="s">
        <v>93</v>
      </c>
      <c r="C14" s="16" t="s">
        <v>93</v>
      </c>
      <c r="D14" s="16" t="s">
        <v>93</v>
      </c>
      <c r="E14" s="16" t="s">
        <v>115</v>
      </c>
      <c r="F14" s="16" t="s">
        <v>1</v>
      </c>
      <c r="G14" t="s">
        <v>110</v>
      </c>
      <c r="H14" s="17" t="s">
        <v>116</v>
      </c>
      <c r="I14" s="17" t="s">
        <v>310</v>
      </c>
      <c r="J14" s="18">
        <v>46080</v>
      </c>
      <c r="K14" s="19">
        <v>6</v>
      </c>
      <c r="L14" s="20">
        <v>133.31</v>
      </c>
      <c r="M14" s="21">
        <v>1</v>
      </c>
      <c r="N14" s="22">
        <v>799.86</v>
      </c>
      <c r="O14" s="21">
        <v>0.05</v>
      </c>
      <c r="P14" s="22">
        <f t="shared" si="0"/>
        <v>39.993000000000002</v>
      </c>
      <c r="Q14" s="16" t="s">
        <v>121</v>
      </c>
      <c r="S14" s="23" t="s">
        <v>71</v>
      </c>
      <c r="T14" s="24">
        <v>7338</v>
      </c>
      <c r="U14" s="24">
        <v>220.14</v>
      </c>
    </row>
    <row r="15" spans="1:21" x14ac:dyDescent="0.25">
      <c r="A15" s="16" t="s">
        <v>92</v>
      </c>
      <c r="B15" s="16" t="s">
        <v>93</v>
      </c>
      <c r="C15" s="16" t="s">
        <v>93</v>
      </c>
      <c r="D15" s="16" t="s">
        <v>93</v>
      </c>
      <c r="E15" s="16" t="s">
        <v>115</v>
      </c>
      <c r="F15" s="16" t="s">
        <v>1</v>
      </c>
      <c r="G15" t="s">
        <v>110</v>
      </c>
      <c r="H15" s="17" t="s">
        <v>311</v>
      </c>
      <c r="I15" s="17" t="s">
        <v>312</v>
      </c>
      <c r="J15" s="18">
        <v>46065</v>
      </c>
      <c r="K15" s="19">
        <v>1</v>
      </c>
      <c r="L15" s="20">
        <v>286.64999999999998</v>
      </c>
      <c r="M15" s="21">
        <v>1</v>
      </c>
      <c r="N15" s="22">
        <v>286.64999999999998</v>
      </c>
      <c r="O15" s="21">
        <v>0.05</v>
      </c>
      <c r="P15" s="22">
        <f t="shared" si="0"/>
        <v>14.3325</v>
      </c>
      <c r="Q15" s="16" t="s">
        <v>121</v>
      </c>
      <c r="S15" s="23" t="s">
        <v>70</v>
      </c>
      <c r="T15" s="24">
        <v>2258.3199999999997</v>
      </c>
      <c r="U15" s="24">
        <v>67.749599999999987</v>
      </c>
    </row>
    <row r="16" spans="1:21" x14ac:dyDescent="0.25">
      <c r="A16" s="16" t="s">
        <v>92</v>
      </c>
      <c r="B16" s="16" t="s">
        <v>93</v>
      </c>
      <c r="C16" s="16" t="s">
        <v>93</v>
      </c>
      <c r="D16" s="16" t="s">
        <v>93</v>
      </c>
      <c r="E16" s="16" t="s">
        <v>115</v>
      </c>
      <c r="F16" s="16" t="s">
        <v>1</v>
      </c>
      <c r="G16" t="s">
        <v>110</v>
      </c>
      <c r="H16" s="17" t="s">
        <v>116</v>
      </c>
      <c r="I16" s="17" t="s">
        <v>305</v>
      </c>
      <c r="J16" s="18">
        <v>46080</v>
      </c>
      <c r="K16" s="19">
        <v>10</v>
      </c>
      <c r="L16" s="20">
        <v>133.31</v>
      </c>
      <c r="M16" s="21">
        <v>1</v>
      </c>
      <c r="N16" s="22">
        <v>1333.1</v>
      </c>
      <c r="O16" s="21">
        <v>0.05</v>
      </c>
      <c r="P16" s="22">
        <f t="shared" si="0"/>
        <v>66.655000000000001</v>
      </c>
      <c r="Q16" s="16" t="s">
        <v>121</v>
      </c>
      <c r="S16" s="23" t="s">
        <v>17</v>
      </c>
      <c r="T16" s="24">
        <v>927.8</v>
      </c>
      <c r="U16" s="24">
        <v>27.833999999999996</v>
      </c>
    </row>
    <row r="17" spans="1:21" x14ac:dyDescent="0.25">
      <c r="A17" s="16" t="s">
        <v>92</v>
      </c>
      <c r="B17" s="16" t="s">
        <v>93</v>
      </c>
      <c r="C17" s="16" t="s">
        <v>93</v>
      </c>
      <c r="D17" s="16" t="s">
        <v>93</v>
      </c>
      <c r="E17" s="16" t="s">
        <v>115</v>
      </c>
      <c r="F17" s="16" t="s">
        <v>1</v>
      </c>
      <c r="G17" t="s">
        <v>110</v>
      </c>
      <c r="H17" s="17" t="s">
        <v>313</v>
      </c>
      <c r="I17" s="17" t="s">
        <v>314</v>
      </c>
      <c r="J17" s="18">
        <v>46072</v>
      </c>
      <c r="K17" s="19">
        <v>63</v>
      </c>
      <c r="L17" s="20">
        <v>5.6821000000000002</v>
      </c>
      <c r="M17" s="21">
        <v>1</v>
      </c>
      <c r="N17" s="22">
        <v>357.97</v>
      </c>
      <c r="O17" s="21">
        <v>0.03</v>
      </c>
      <c r="P17" s="22">
        <f t="shared" si="0"/>
        <v>10.739100000000001</v>
      </c>
      <c r="Q17" s="16" t="s">
        <v>129</v>
      </c>
      <c r="S17" s="23" t="s">
        <v>51</v>
      </c>
      <c r="T17" s="24">
        <v>1528.28</v>
      </c>
      <c r="U17" s="24">
        <v>45.848399999999998</v>
      </c>
    </row>
    <row r="18" spans="1:21" x14ac:dyDescent="0.25">
      <c r="A18" s="16" t="s">
        <v>92</v>
      </c>
      <c r="B18" s="16" t="s">
        <v>93</v>
      </c>
      <c r="C18" s="16" t="s">
        <v>93</v>
      </c>
      <c r="D18" s="16" t="s">
        <v>93</v>
      </c>
      <c r="E18" s="16" t="s">
        <v>115</v>
      </c>
      <c r="F18" s="16" t="s">
        <v>1</v>
      </c>
      <c r="G18" t="s">
        <v>110</v>
      </c>
      <c r="H18" s="17" t="s">
        <v>130</v>
      </c>
      <c r="I18" s="17" t="s">
        <v>315</v>
      </c>
      <c r="J18" s="18">
        <v>46072</v>
      </c>
      <c r="K18" s="19">
        <v>882</v>
      </c>
      <c r="L18" s="20">
        <v>5.6821000000000002</v>
      </c>
      <c r="M18" s="21">
        <v>1</v>
      </c>
      <c r="N18" s="22">
        <v>5011.6099999999997</v>
      </c>
      <c r="O18" s="21">
        <v>0.03</v>
      </c>
      <c r="P18" s="22">
        <f t="shared" si="0"/>
        <v>150.34829999999999</v>
      </c>
      <c r="Q18" s="16" t="s">
        <v>129</v>
      </c>
      <c r="S18" s="23" t="s">
        <v>47</v>
      </c>
      <c r="T18" s="24">
        <v>3176.32</v>
      </c>
      <c r="U18" s="24">
        <v>95.289600000000007</v>
      </c>
    </row>
    <row r="19" spans="1:21" x14ac:dyDescent="0.25">
      <c r="A19" s="16" t="s">
        <v>92</v>
      </c>
      <c r="B19" s="16" t="s">
        <v>93</v>
      </c>
      <c r="C19" s="16" t="s">
        <v>93</v>
      </c>
      <c r="D19" s="16" t="s">
        <v>93</v>
      </c>
      <c r="E19" s="16" t="s">
        <v>115</v>
      </c>
      <c r="F19" s="16" t="s">
        <v>1</v>
      </c>
      <c r="G19" t="s">
        <v>110</v>
      </c>
      <c r="H19" s="17" t="s">
        <v>130</v>
      </c>
      <c r="I19" s="17" t="s">
        <v>316</v>
      </c>
      <c r="J19" s="18">
        <v>46059</v>
      </c>
      <c r="K19" s="19">
        <v>882</v>
      </c>
      <c r="L19" s="20">
        <v>5.6821000000000002</v>
      </c>
      <c r="M19" s="21">
        <v>1</v>
      </c>
      <c r="N19" s="22">
        <v>5011.6099999999997</v>
      </c>
      <c r="O19" s="21">
        <v>0.03</v>
      </c>
      <c r="P19" s="22">
        <f t="shared" si="0"/>
        <v>150.34829999999999</v>
      </c>
      <c r="Q19" s="16" t="s">
        <v>129</v>
      </c>
      <c r="S19" s="23" t="s">
        <v>19</v>
      </c>
      <c r="T19" s="24">
        <v>59691.7</v>
      </c>
      <c r="U19" s="24">
        <v>596.91700000000003</v>
      </c>
    </row>
    <row r="20" spans="1:21" x14ac:dyDescent="0.25">
      <c r="A20" s="16" t="s">
        <v>92</v>
      </c>
      <c r="B20" s="16" t="s">
        <v>93</v>
      </c>
      <c r="C20" s="16" t="s">
        <v>93</v>
      </c>
      <c r="D20" s="16" t="s">
        <v>93</v>
      </c>
      <c r="E20" s="16" t="s">
        <v>94</v>
      </c>
      <c r="F20" s="16" t="s">
        <v>1</v>
      </c>
      <c r="G20" t="s">
        <v>110</v>
      </c>
      <c r="H20" s="17" t="s">
        <v>132</v>
      </c>
      <c r="I20" s="17" t="s">
        <v>317</v>
      </c>
      <c r="J20" s="18">
        <v>46059</v>
      </c>
      <c r="K20" s="19">
        <v>24</v>
      </c>
      <c r="L20" s="20">
        <v>41.64</v>
      </c>
      <c r="M20" s="21">
        <v>1</v>
      </c>
      <c r="N20" s="22">
        <v>999.36</v>
      </c>
      <c r="O20" s="21">
        <v>0.03</v>
      </c>
      <c r="P20" s="22">
        <f t="shared" si="0"/>
        <v>29.980799999999999</v>
      </c>
      <c r="Q20" s="16" t="s">
        <v>101</v>
      </c>
      <c r="S20" s="23" t="s">
        <v>72</v>
      </c>
      <c r="T20" s="24">
        <v>6851.55</v>
      </c>
      <c r="U20" s="24">
        <v>205.54649999999998</v>
      </c>
    </row>
    <row r="21" spans="1:21" x14ac:dyDescent="0.25">
      <c r="A21" s="16" t="s">
        <v>92</v>
      </c>
      <c r="B21" s="16" t="s">
        <v>93</v>
      </c>
      <c r="C21" s="16" t="s">
        <v>93</v>
      </c>
      <c r="D21" s="16" t="s">
        <v>93</v>
      </c>
      <c r="E21" s="16" t="s">
        <v>115</v>
      </c>
      <c r="F21" s="16" t="s">
        <v>1</v>
      </c>
      <c r="G21" t="s">
        <v>110</v>
      </c>
      <c r="H21" s="17" t="s">
        <v>313</v>
      </c>
      <c r="I21" s="17" t="s">
        <v>318</v>
      </c>
      <c r="J21" s="18">
        <v>46070</v>
      </c>
      <c r="K21" s="19">
        <v>63</v>
      </c>
      <c r="L21" s="20">
        <v>5.6821000000000002</v>
      </c>
      <c r="M21" s="21">
        <v>1</v>
      </c>
      <c r="N21" s="22">
        <v>357.97</v>
      </c>
      <c r="O21" s="21">
        <v>0.03</v>
      </c>
      <c r="P21" s="22">
        <f t="shared" si="0"/>
        <v>10.739100000000001</v>
      </c>
      <c r="Q21" s="16" t="s">
        <v>129</v>
      </c>
      <c r="S21" s="23" t="s">
        <v>143</v>
      </c>
      <c r="T21" s="24">
        <v>175043.88999999998</v>
      </c>
      <c r="U21" s="24">
        <v>4133.7386999999999</v>
      </c>
    </row>
    <row r="22" spans="1:21" x14ac:dyDescent="0.25">
      <c r="A22" s="16" t="s">
        <v>92</v>
      </c>
      <c r="B22" s="16" t="s">
        <v>93</v>
      </c>
      <c r="C22" s="16" t="s">
        <v>93</v>
      </c>
      <c r="D22" s="16" t="s">
        <v>93</v>
      </c>
      <c r="E22" s="16" t="s">
        <v>115</v>
      </c>
      <c r="F22" s="16" t="s">
        <v>1</v>
      </c>
      <c r="G22" t="s">
        <v>110</v>
      </c>
      <c r="H22" s="17" t="s">
        <v>319</v>
      </c>
      <c r="I22" s="17" t="s">
        <v>320</v>
      </c>
      <c r="J22" s="18">
        <v>46059</v>
      </c>
      <c r="K22" s="19">
        <v>63</v>
      </c>
      <c r="L22" s="20">
        <v>5.6821000000000002</v>
      </c>
      <c r="M22" s="21">
        <v>1</v>
      </c>
      <c r="N22" s="22">
        <v>357.97</v>
      </c>
      <c r="O22" s="21">
        <v>0.03</v>
      </c>
      <c r="P22" s="22">
        <f t="shared" si="0"/>
        <v>10.739100000000001</v>
      </c>
      <c r="Q22" s="16" t="s">
        <v>129</v>
      </c>
    </row>
    <row r="23" spans="1:21" x14ac:dyDescent="0.25">
      <c r="A23" s="16" t="s">
        <v>92</v>
      </c>
      <c r="B23" s="16" t="s">
        <v>93</v>
      </c>
      <c r="C23" s="16" t="s">
        <v>93</v>
      </c>
      <c r="D23" s="16" t="s">
        <v>93</v>
      </c>
      <c r="E23" s="16" t="s">
        <v>115</v>
      </c>
      <c r="F23" s="16" t="s">
        <v>1</v>
      </c>
      <c r="G23" t="s">
        <v>110</v>
      </c>
      <c r="H23" s="17" t="s">
        <v>130</v>
      </c>
      <c r="I23" s="17" t="s">
        <v>321</v>
      </c>
      <c r="J23" s="18">
        <v>46059</v>
      </c>
      <c r="K23" s="19">
        <v>882</v>
      </c>
      <c r="L23" s="20">
        <v>5.6821000000000002</v>
      </c>
      <c r="M23" s="21">
        <v>1</v>
      </c>
      <c r="N23" s="22">
        <v>5011.6099999999997</v>
      </c>
      <c r="O23" s="21">
        <v>0.03</v>
      </c>
      <c r="P23" s="22">
        <f t="shared" si="0"/>
        <v>150.34829999999999</v>
      </c>
      <c r="Q23" s="16" t="s">
        <v>129</v>
      </c>
    </row>
    <row r="24" spans="1:21" x14ac:dyDescent="0.25">
      <c r="A24" s="16" t="s">
        <v>92</v>
      </c>
      <c r="B24" s="16" t="s">
        <v>93</v>
      </c>
      <c r="C24" s="16" t="s">
        <v>93</v>
      </c>
      <c r="D24" s="16" t="s">
        <v>93</v>
      </c>
      <c r="E24" s="16" t="s">
        <v>115</v>
      </c>
      <c r="F24" s="16" t="s">
        <v>1</v>
      </c>
      <c r="G24" t="s">
        <v>110</v>
      </c>
      <c r="H24" s="17" t="s">
        <v>130</v>
      </c>
      <c r="I24" s="17" t="s">
        <v>322</v>
      </c>
      <c r="J24" s="18">
        <v>46059</v>
      </c>
      <c r="K24" s="19">
        <v>882</v>
      </c>
      <c r="L24" s="20">
        <v>5.6821000000000002</v>
      </c>
      <c r="M24" s="21">
        <v>1</v>
      </c>
      <c r="N24" s="22">
        <v>5011.6099999999997</v>
      </c>
      <c r="O24" s="21">
        <v>0.03</v>
      </c>
      <c r="P24" s="22">
        <f t="shared" si="0"/>
        <v>150.34829999999999</v>
      </c>
      <c r="Q24" s="16" t="s">
        <v>129</v>
      </c>
    </row>
    <row r="25" spans="1:21" x14ac:dyDescent="0.25">
      <c r="A25" s="16" t="s">
        <v>92</v>
      </c>
      <c r="B25" s="16" t="s">
        <v>93</v>
      </c>
      <c r="C25" s="16" t="s">
        <v>93</v>
      </c>
      <c r="D25" s="16" t="s">
        <v>93</v>
      </c>
      <c r="E25" s="16" t="s">
        <v>115</v>
      </c>
      <c r="F25" s="16" t="s">
        <v>1</v>
      </c>
      <c r="G25" t="s">
        <v>110</v>
      </c>
      <c r="H25" s="17" t="s">
        <v>127</v>
      </c>
      <c r="I25" s="17" t="s">
        <v>323</v>
      </c>
      <c r="J25" s="18">
        <v>46072</v>
      </c>
      <c r="K25" s="19">
        <v>63</v>
      </c>
      <c r="L25" s="20">
        <v>5.6821000000000002</v>
      </c>
      <c r="M25" s="21">
        <v>1</v>
      </c>
      <c r="N25" s="22">
        <v>357.97</v>
      </c>
      <c r="O25" s="21">
        <v>0.03</v>
      </c>
      <c r="P25" s="22">
        <f t="shared" si="0"/>
        <v>10.739100000000001</v>
      </c>
      <c r="Q25" s="16" t="s">
        <v>129</v>
      </c>
    </row>
    <row r="26" spans="1:21" x14ac:dyDescent="0.25">
      <c r="A26" s="16" t="s">
        <v>92</v>
      </c>
      <c r="B26" s="16" t="s">
        <v>93</v>
      </c>
      <c r="C26" s="16" t="s">
        <v>93</v>
      </c>
      <c r="D26" s="16" t="s">
        <v>93</v>
      </c>
      <c r="E26" s="16" t="s">
        <v>115</v>
      </c>
      <c r="F26" s="16" t="s">
        <v>1</v>
      </c>
      <c r="G26" t="s">
        <v>110</v>
      </c>
      <c r="H26" s="17" t="s">
        <v>127</v>
      </c>
      <c r="I26" s="17" t="s">
        <v>324</v>
      </c>
      <c r="J26" s="18">
        <v>46072</v>
      </c>
      <c r="K26" s="19">
        <v>252</v>
      </c>
      <c r="L26" s="20">
        <v>5.6821000000000002</v>
      </c>
      <c r="M26" s="21">
        <v>1</v>
      </c>
      <c r="N26" s="22">
        <v>1431.89</v>
      </c>
      <c r="O26" s="21">
        <v>0.03</v>
      </c>
      <c r="P26" s="22">
        <f t="shared" si="0"/>
        <v>42.956699999999998</v>
      </c>
      <c r="Q26" s="16" t="s">
        <v>129</v>
      </c>
    </row>
    <row r="27" spans="1:21" x14ac:dyDescent="0.25">
      <c r="A27" s="16" t="s">
        <v>92</v>
      </c>
      <c r="B27" s="16" t="s">
        <v>93</v>
      </c>
      <c r="C27" s="16" t="s">
        <v>93</v>
      </c>
      <c r="D27" s="16" t="s">
        <v>93</v>
      </c>
      <c r="E27" s="16" t="s">
        <v>115</v>
      </c>
      <c r="F27" s="16" t="s">
        <v>1</v>
      </c>
      <c r="G27" t="s">
        <v>110</v>
      </c>
      <c r="H27" s="17" t="s">
        <v>319</v>
      </c>
      <c r="I27" s="17" t="s">
        <v>325</v>
      </c>
      <c r="J27" s="18">
        <v>46072</v>
      </c>
      <c r="K27" s="19">
        <v>63</v>
      </c>
      <c r="L27" s="20">
        <v>5.6821000000000002</v>
      </c>
      <c r="M27" s="21">
        <v>1</v>
      </c>
      <c r="N27" s="22">
        <v>357.97</v>
      </c>
      <c r="O27" s="21">
        <v>0.03</v>
      </c>
      <c r="P27" s="22">
        <f t="shared" si="0"/>
        <v>10.739100000000001</v>
      </c>
      <c r="Q27" s="16" t="s">
        <v>129</v>
      </c>
    </row>
    <row r="28" spans="1:21" x14ac:dyDescent="0.25">
      <c r="A28" s="16" t="s">
        <v>92</v>
      </c>
      <c r="B28" s="16" t="s">
        <v>93</v>
      </c>
      <c r="C28" s="16" t="s">
        <v>93</v>
      </c>
      <c r="D28" s="16" t="s">
        <v>93</v>
      </c>
      <c r="E28" s="16" t="s">
        <v>115</v>
      </c>
      <c r="F28" s="16" t="s">
        <v>2</v>
      </c>
      <c r="G28" t="s">
        <v>149</v>
      </c>
      <c r="H28" s="17" t="s">
        <v>326</v>
      </c>
      <c r="I28" s="17" t="s">
        <v>327</v>
      </c>
      <c r="J28" s="18">
        <v>46072</v>
      </c>
      <c r="K28" s="19">
        <v>50</v>
      </c>
      <c r="L28" s="20">
        <v>102.35</v>
      </c>
      <c r="M28" s="21">
        <v>1</v>
      </c>
      <c r="N28" s="22">
        <v>5117.5</v>
      </c>
      <c r="O28" s="21">
        <v>0.03</v>
      </c>
      <c r="P28" s="22">
        <f t="shared" si="0"/>
        <v>153.52500000000001</v>
      </c>
      <c r="Q28" s="16" t="s">
        <v>129</v>
      </c>
    </row>
    <row r="29" spans="1:21" x14ac:dyDescent="0.25">
      <c r="A29" s="16" t="s">
        <v>92</v>
      </c>
      <c r="B29" s="16" t="s">
        <v>93</v>
      </c>
      <c r="C29" s="16" t="s">
        <v>93</v>
      </c>
      <c r="D29" s="16" t="s">
        <v>93</v>
      </c>
      <c r="E29" s="16" t="s">
        <v>94</v>
      </c>
      <c r="F29" s="16" t="s">
        <v>2</v>
      </c>
      <c r="G29" t="s">
        <v>149</v>
      </c>
      <c r="H29" s="17" t="s">
        <v>328</v>
      </c>
      <c r="I29" s="17" t="s">
        <v>329</v>
      </c>
      <c r="J29" s="18">
        <v>46073</v>
      </c>
      <c r="K29" s="19">
        <v>12</v>
      </c>
      <c r="L29" s="20">
        <v>41.98</v>
      </c>
      <c r="M29" s="21">
        <v>1</v>
      </c>
      <c r="N29" s="22">
        <v>503.76</v>
      </c>
      <c r="O29" s="21">
        <v>0.03</v>
      </c>
      <c r="P29" s="22">
        <f t="shared" si="0"/>
        <v>15.1128</v>
      </c>
      <c r="Q29" s="16" t="s">
        <v>101</v>
      </c>
    </row>
    <row r="30" spans="1:21" x14ac:dyDescent="0.25">
      <c r="A30" s="16" t="s">
        <v>92</v>
      </c>
      <c r="B30" s="16" t="s">
        <v>93</v>
      </c>
      <c r="C30" s="16" t="s">
        <v>93</v>
      </c>
      <c r="D30" s="16" t="s">
        <v>93</v>
      </c>
      <c r="E30" s="16" t="s">
        <v>94</v>
      </c>
      <c r="F30" s="16" t="s">
        <v>2</v>
      </c>
      <c r="G30" t="s">
        <v>149</v>
      </c>
      <c r="H30" s="17" t="s">
        <v>330</v>
      </c>
      <c r="I30" s="17" t="s">
        <v>331</v>
      </c>
      <c r="J30" s="18">
        <v>46076</v>
      </c>
      <c r="K30" s="19">
        <v>15</v>
      </c>
      <c r="L30" s="20">
        <v>41.98</v>
      </c>
      <c r="M30" s="21">
        <v>1</v>
      </c>
      <c r="N30" s="22">
        <v>629.70000000000005</v>
      </c>
      <c r="O30" s="21">
        <v>0.03</v>
      </c>
      <c r="P30" s="22">
        <f t="shared" si="0"/>
        <v>18.891000000000002</v>
      </c>
      <c r="Q30" s="16" t="s">
        <v>101</v>
      </c>
    </row>
    <row r="31" spans="1:21" x14ac:dyDescent="0.25">
      <c r="A31" s="16" t="s">
        <v>92</v>
      </c>
      <c r="B31" s="16" t="s">
        <v>93</v>
      </c>
      <c r="C31" s="16" t="s">
        <v>93</v>
      </c>
      <c r="D31" s="16" t="s">
        <v>93</v>
      </c>
      <c r="E31" s="16" t="s">
        <v>94</v>
      </c>
      <c r="F31" s="16" t="s">
        <v>2</v>
      </c>
      <c r="G31" t="s">
        <v>149</v>
      </c>
      <c r="H31" s="17" t="s">
        <v>330</v>
      </c>
      <c r="I31" s="17" t="s">
        <v>332</v>
      </c>
      <c r="J31" s="18">
        <v>46069</v>
      </c>
      <c r="K31" s="19">
        <v>15</v>
      </c>
      <c r="L31" s="20">
        <v>41.98</v>
      </c>
      <c r="M31" s="21">
        <v>1</v>
      </c>
      <c r="N31" s="22">
        <v>629.70000000000005</v>
      </c>
      <c r="O31" s="21">
        <v>0.03</v>
      </c>
      <c r="P31" s="22">
        <f t="shared" si="0"/>
        <v>18.891000000000002</v>
      </c>
      <c r="Q31" s="16" t="s">
        <v>101</v>
      </c>
    </row>
    <row r="32" spans="1:21" x14ac:dyDescent="0.25">
      <c r="A32" s="16" t="s">
        <v>92</v>
      </c>
      <c r="B32" s="16" t="s">
        <v>93</v>
      </c>
      <c r="C32" s="16" t="s">
        <v>93</v>
      </c>
      <c r="D32" s="16" t="s">
        <v>93</v>
      </c>
      <c r="E32" s="16" t="s">
        <v>115</v>
      </c>
      <c r="F32" s="16" t="s">
        <v>2</v>
      </c>
      <c r="G32" t="s">
        <v>149</v>
      </c>
      <c r="H32" s="17" t="s">
        <v>333</v>
      </c>
      <c r="I32" s="17" t="s">
        <v>334</v>
      </c>
      <c r="J32" s="18">
        <v>46059</v>
      </c>
      <c r="K32" s="19">
        <v>99</v>
      </c>
      <c r="L32" s="20">
        <v>65.75</v>
      </c>
      <c r="M32" s="21">
        <v>1</v>
      </c>
      <c r="N32" s="22">
        <v>6509.25</v>
      </c>
      <c r="O32" s="21">
        <v>0.03</v>
      </c>
      <c r="P32" s="22">
        <f t="shared" si="0"/>
        <v>195.2775</v>
      </c>
      <c r="Q32" s="16" t="s">
        <v>129</v>
      </c>
    </row>
    <row r="33" spans="1:17" x14ac:dyDescent="0.25">
      <c r="A33" s="16" t="s">
        <v>92</v>
      </c>
      <c r="B33" s="16" t="s">
        <v>93</v>
      </c>
      <c r="C33" s="16" t="s">
        <v>93</v>
      </c>
      <c r="D33" s="16" t="s">
        <v>93</v>
      </c>
      <c r="E33" s="16" t="s">
        <v>94</v>
      </c>
      <c r="F33" s="16" t="s">
        <v>57</v>
      </c>
      <c r="G33" t="s">
        <v>157</v>
      </c>
      <c r="H33" s="17" t="s">
        <v>158</v>
      </c>
      <c r="I33" s="17" t="s">
        <v>335</v>
      </c>
      <c r="J33" s="18">
        <v>46057</v>
      </c>
      <c r="K33" s="19">
        <v>15</v>
      </c>
      <c r="L33" s="20">
        <v>43.12</v>
      </c>
      <c r="M33" s="21">
        <v>1</v>
      </c>
      <c r="N33" s="22">
        <v>646.79999999999995</v>
      </c>
      <c r="O33" s="21">
        <v>0.03</v>
      </c>
      <c r="P33" s="22">
        <f t="shared" si="0"/>
        <v>19.403999999999996</v>
      </c>
      <c r="Q33" s="16" t="s">
        <v>101</v>
      </c>
    </row>
    <row r="34" spans="1:17" x14ac:dyDescent="0.25">
      <c r="A34" s="16" t="s">
        <v>92</v>
      </c>
      <c r="B34" s="16" t="s">
        <v>93</v>
      </c>
      <c r="C34" s="16" t="s">
        <v>93</v>
      </c>
      <c r="D34" s="16" t="s">
        <v>93</v>
      </c>
      <c r="E34" s="16" t="s">
        <v>115</v>
      </c>
      <c r="F34" s="16" t="s">
        <v>7</v>
      </c>
      <c r="G34" t="s">
        <v>336</v>
      </c>
      <c r="H34" s="17" t="s">
        <v>337</v>
      </c>
      <c r="I34" s="17" t="s">
        <v>338</v>
      </c>
      <c r="J34" s="18">
        <v>46065</v>
      </c>
      <c r="K34" s="19">
        <v>40</v>
      </c>
      <c r="L34" s="20">
        <v>79.680000000000007</v>
      </c>
      <c r="M34" s="21">
        <v>1</v>
      </c>
      <c r="N34" s="22">
        <v>3187.2</v>
      </c>
      <c r="O34" s="21">
        <v>0.03</v>
      </c>
      <c r="P34" s="22">
        <f t="shared" si="0"/>
        <v>95.615999999999985</v>
      </c>
      <c r="Q34" s="16" t="s">
        <v>129</v>
      </c>
    </row>
    <row r="35" spans="1:17" x14ac:dyDescent="0.25">
      <c r="A35" s="16" t="s">
        <v>92</v>
      </c>
      <c r="B35" s="16" t="s">
        <v>93</v>
      </c>
      <c r="C35" s="16" t="s">
        <v>93</v>
      </c>
      <c r="D35" s="16" t="s">
        <v>93</v>
      </c>
      <c r="E35" s="16" t="s">
        <v>94</v>
      </c>
      <c r="F35" s="16" t="s">
        <v>8</v>
      </c>
      <c r="G35" t="s">
        <v>169</v>
      </c>
      <c r="H35" s="17" t="s">
        <v>174</v>
      </c>
      <c r="I35" s="17" t="s">
        <v>339</v>
      </c>
      <c r="J35" s="18">
        <v>46057</v>
      </c>
      <c r="K35" s="19">
        <v>32</v>
      </c>
      <c r="L35" s="20">
        <v>45.13</v>
      </c>
      <c r="M35" s="21">
        <v>1</v>
      </c>
      <c r="N35" s="22">
        <v>1444.16</v>
      </c>
      <c r="O35" s="21">
        <v>0.03</v>
      </c>
      <c r="P35" s="22">
        <f t="shared" si="0"/>
        <v>43.324800000000003</v>
      </c>
      <c r="Q35" s="16" t="s">
        <v>101</v>
      </c>
    </row>
    <row r="36" spans="1:17" x14ac:dyDescent="0.25">
      <c r="A36" s="16" t="s">
        <v>92</v>
      </c>
      <c r="B36" s="16" t="s">
        <v>93</v>
      </c>
      <c r="C36" s="16" t="s">
        <v>93</v>
      </c>
      <c r="D36" s="16" t="s">
        <v>93</v>
      </c>
      <c r="E36" s="16" t="s">
        <v>94</v>
      </c>
      <c r="F36" s="16" t="s">
        <v>8</v>
      </c>
      <c r="G36" t="s">
        <v>169</v>
      </c>
      <c r="H36" s="17" t="s">
        <v>340</v>
      </c>
      <c r="I36" s="17" t="s">
        <v>339</v>
      </c>
      <c r="J36" s="18">
        <v>46057</v>
      </c>
      <c r="K36" s="19">
        <v>15</v>
      </c>
      <c r="L36" s="20">
        <v>45.13</v>
      </c>
      <c r="M36" s="21">
        <v>1</v>
      </c>
      <c r="N36" s="22">
        <v>676.95</v>
      </c>
      <c r="O36" s="21">
        <v>0.03</v>
      </c>
      <c r="P36" s="22">
        <f t="shared" si="0"/>
        <v>20.308500000000002</v>
      </c>
      <c r="Q36" s="16" t="s">
        <v>101</v>
      </c>
    </row>
    <row r="37" spans="1:17" x14ac:dyDescent="0.25">
      <c r="A37" s="16" t="s">
        <v>92</v>
      </c>
      <c r="B37" s="16" t="s">
        <v>93</v>
      </c>
      <c r="C37" s="16" t="s">
        <v>93</v>
      </c>
      <c r="D37" s="16" t="s">
        <v>93</v>
      </c>
      <c r="E37" s="16" t="s">
        <v>94</v>
      </c>
      <c r="F37" s="16" t="s">
        <v>8</v>
      </c>
      <c r="G37" t="s">
        <v>169</v>
      </c>
      <c r="H37" s="17" t="s">
        <v>341</v>
      </c>
      <c r="I37" s="17" t="s">
        <v>339</v>
      </c>
      <c r="J37" s="18">
        <v>46057</v>
      </c>
      <c r="K37" s="19">
        <v>6</v>
      </c>
      <c r="L37" s="20">
        <v>45.13</v>
      </c>
      <c r="M37" s="21">
        <v>1</v>
      </c>
      <c r="N37" s="22">
        <v>270.77999999999997</v>
      </c>
      <c r="O37" s="21">
        <v>0.03</v>
      </c>
      <c r="P37" s="22">
        <f t="shared" si="0"/>
        <v>8.1233999999999984</v>
      </c>
      <c r="Q37" s="16" t="s">
        <v>101</v>
      </c>
    </row>
    <row r="38" spans="1:17" x14ac:dyDescent="0.25">
      <c r="A38" s="16" t="s">
        <v>92</v>
      </c>
      <c r="B38" s="16" t="s">
        <v>93</v>
      </c>
      <c r="C38" s="16" t="s">
        <v>93</v>
      </c>
      <c r="D38" s="16" t="s">
        <v>93</v>
      </c>
      <c r="E38" s="16" t="s">
        <v>94</v>
      </c>
      <c r="F38" s="16" t="s">
        <v>8</v>
      </c>
      <c r="G38" t="s">
        <v>169</v>
      </c>
      <c r="H38" s="17" t="s">
        <v>174</v>
      </c>
      <c r="I38" s="17" t="s">
        <v>342</v>
      </c>
      <c r="J38" s="18">
        <v>46057</v>
      </c>
      <c r="K38" s="19">
        <v>32</v>
      </c>
      <c r="L38" s="20">
        <v>45.13</v>
      </c>
      <c r="M38" s="21">
        <v>1</v>
      </c>
      <c r="N38" s="22">
        <v>1444.16</v>
      </c>
      <c r="O38" s="21">
        <v>0.03</v>
      </c>
      <c r="P38" s="22">
        <f t="shared" si="0"/>
        <v>43.324800000000003</v>
      </c>
      <c r="Q38" s="16" t="s">
        <v>101</v>
      </c>
    </row>
    <row r="39" spans="1:17" x14ac:dyDescent="0.25">
      <c r="A39" s="16" t="s">
        <v>92</v>
      </c>
      <c r="B39" s="16" t="s">
        <v>93</v>
      </c>
      <c r="C39" s="16" t="s">
        <v>93</v>
      </c>
      <c r="D39" s="16" t="s">
        <v>93</v>
      </c>
      <c r="E39" s="16" t="s">
        <v>94</v>
      </c>
      <c r="F39" s="16" t="s">
        <v>8</v>
      </c>
      <c r="G39" t="s">
        <v>169</v>
      </c>
      <c r="H39" s="17" t="s">
        <v>343</v>
      </c>
      <c r="I39" s="17" t="s">
        <v>342</v>
      </c>
      <c r="J39" s="18">
        <v>46057</v>
      </c>
      <c r="K39" s="19">
        <v>24</v>
      </c>
      <c r="L39" s="20">
        <v>45.13</v>
      </c>
      <c r="M39" s="21">
        <v>1</v>
      </c>
      <c r="N39" s="22">
        <v>1083.1199999999999</v>
      </c>
      <c r="O39" s="21">
        <v>0.03</v>
      </c>
      <c r="P39" s="22">
        <f t="shared" si="0"/>
        <v>32.493599999999994</v>
      </c>
      <c r="Q39" s="16" t="s">
        <v>101</v>
      </c>
    </row>
    <row r="40" spans="1:17" x14ac:dyDescent="0.25">
      <c r="A40" s="16" t="s">
        <v>92</v>
      </c>
      <c r="B40" s="16" t="s">
        <v>93</v>
      </c>
      <c r="C40" s="16" t="s">
        <v>93</v>
      </c>
      <c r="D40" s="16" t="s">
        <v>93</v>
      </c>
      <c r="E40" s="16" t="s">
        <v>94</v>
      </c>
      <c r="F40" s="16" t="s">
        <v>9</v>
      </c>
      <c r="G40" t="s">
        <v>183</v>
      </c>
      <c r="H40" s="17" t="s">
        <v>184</v>
      </c>
      <c r="I40" s="17" t="s">
        <v>344</v>
      </c>
      <c r="J40" s="18">
        <v>46073</v>
      </c>
      <c r="K40" s="19">
        <v>40</v>
      </c>
      <c r="L40" s="20">
        <v>40.299999999999997</v>
      </c>
      <c r="M40" s="21">
        <v>1</v>
      </c>
      <c r="N40" s="22">
        <v>1612</v>
      </c>
      <c r="O40" s="21">
        <v>0.03</v>
      </c>
      <c r="P40" s="22">
        <f t="shared" si="0"/>
        <v>48.36</v>
      </c>
      <c r="Q40" s="16" t="s">
        <v>101</v>
      </c>
    </row>
    <row r="41" spans="1:17" x14ac:dyDescent="0.25">
      <c r="A41" s="16" t="s">
        <v>92</v>
      </c>
      <c r="B41" s="16" t="s">
        <v>93</v>
      </c>
      <c r="C41" s="16" t="s">
        <v>93</v>
      </c>
      <c r="D41" s="16" t="s">
        <v>93</v>
      </c>
      <c r="E41" s="16" t="s">
        <v>94</v>
      </c>
      <c r="F41" s="16" t="s">
        <v>9</v>
      </c>
      <c r="G41" t="s">
        <v>183</v>
      </c>
      <c r="H41" s="17" t="s">
        <v>184</v>
      </c>
      <c r="I41" s="17" t="s">
        <v>345</v>
      </c>
      <c r="J41" s="18">
        <v>46065</v>
      </c>
      <c r="K41" s="19">
        <v>50</v>
      </c>
      <c r="L41" s="20">
        <v>40.299999999999997</v>
      </c>
      <c r="M41" s="21">
        <v>1</v>
      </c>
      <c r="N41" s="22">
        <v>2015</v>
      </c>
      <c r="O41" s="21">
        <v>0.03</v>
      </c>
      <c r="P41" s="22">
        <f t="shared" si="0"/>
        <v>60.449999999999996</v>
      </c>
      <c r="Q41" s="16" t="s">
        <v>101</v>
      </c>
    </row>
    <row r="42" spans="1:17" x14ac:dyDescent="0.25">
      <c r="A42" s="16" t="s">
        <v>92</v>
      </c>
      <c r="B42" s="16" t="s">
        <v>93</v>
      </c>
      <c r="C42" s="16" t="s">
        <v>93</v>
      </c>
      <c r="D42" s="16" t="s">
        <v>93</v>
      </c>
      <c r="E42" s="16" t="s">
        <v>94</v>
      </c>
      <c r="F42" s="16" t="s">
        <v>9</v>
      </c>
      <c r="G42" t="s">
        <v>183</v>
      </c>
      <c r="H42" s="17" t="s">
        <v>184</v>
      </c>
      <c r="I42" s="17" t="s">
        <v>346</v>
      </c>
      <c r="J42" s="18">
        <v>46065</v>
      </c>
      <c r="K42" s="19">
        <v>80</v>
      </c>
      <c r="L42" s="20">
        <v>40.299999999999997</v>
      </c>
      <c r="M42" s="21">
        <v>1</v>
      </c>
      <c r="N42" s="22">
        <v>3224</v>
      </c>
      <c r="O42" s="21">
        <v>0.03</v>
      </c>
      <c r="P42" s="22">
        <f t="shared" si="0"/>
        <v>96.72</v>
      </c>
      <c r="Q42" s="16" t="s">
        <v>101</v>
      </c>
    </row>
    <row r="43" spans="1:17" x14ac:dyDescent="0.25">
      <c r="A43" s="16" t="s">
        <v>92</v>
      </c>
      <c r="B43" s="16" t="s">
        <v>93</v>
      </c>
      <c r="C43" s="16" t="s">
        <v>93</v>
      </c>
      <c r="D43" s="16" t="s">
        <v>93</v>
      </c>
      <c r="E43" s="16" t="s">
        <v>94</v>
      </c>
      <c r="F43" s="16" t="s">
        <v>9</v>
      </c>
      <c r="G43" t="s">
        <v>183</v>
      </c>
      <c r="H43" s="17" t="s">
        <v>186</v>
      </c>
      <c r="I43" s="17" t="s">
        <v>347</v>
      </c>
      <c r="J43" s="18">
        <v>46080</v>
      </c>
      <c r="K43" s="19">
        <v>40</v>
      </c>
      <c r="L43" s="20">
        <v>40.299999999999997</v>
      </c>
      <c r="M43" s="21">
        <v>1</v>
      </c>
      <c r="N43" s="22">
        <v>1612</v>
      </c>
      <c r="O43" s="21">
        <v>0.03</v>
      </c>
      <c r="P43" s="22">
        <f t="shared" si="0"/>
        <v>48.36</v>
      </c>
      <c r="Q43" s="16" t="s">
        <v>101</v>
      </c>
    </row>
    <row r="44" spans="1:17" x14ac:dyDescent="0.25">
      <c r="A44" s="16" t="s">
        <v>92</v>
      </c>
      <c r="B44" s="16" t="s">
        <v>93</v>
      </c>
      <c r="C44" s="16" t="s">
        <v>93</v>
      </c>
      <c r="D44" s="16" t="s">
        <v>93</v>
      </c>
      <c r="E44" s="16" t="s">
        <v>153</v>
      </c>
      <c r="F44" s="16" t="s">
        <v>10</v>
      </c>
      <c r="G44" t="s">
        <v>188</v>
      </c>
      <c r="H44" s="17" t="s">
        <v>154</v>
      </c>
      <c r="I44" s="17" t="s">
        <v>348</v>
      </c>
      <c r="J44" s="18">
        <v>46064</v>
      </c>
      <c r="K44" s="19">
        <v>45</v>
      </c>
      <c r="L44" s="20">
        <v>40.549999999999997</v>
      </c>
      <c r="M44" s="21">
        <v>1</v>
      </c>
      <c r="N44" s="22">
        <v>1824.75</v>
      </c>
      <c r="O44" s="21">
        <v>0.03</v>
      </c>
      <c r="P44" s="22">
        <f t="shared" si="0"/>
        <v>54.7425</v>
      </c>
      <c r="Q44" s="16" t="s">
        <v>156</v>
      </c>
    </row>
    <row r="45" spans="1:17" x14ac:dyDescent="0.25">
      <c r="A45" s="16" t="s">
        <v>92</v>
      </c>
      <c r="B45" s="16" t="s">
        <v>93</v>
      </c>
      <c r="C45" s="16" t="s">
        <v>93</v>
      </c>
      <c r="D45" s="16" t="s">
        <v>93</v>
      </c>
      <c r="E45" s="16" t="s">
        <v>160</v>
      </c>
      <c r="F45" s="16" t="s">
        <v>10</v>
      </c>
      <c r="G45" t="s">
        <v>188</v>
      </c>
      <c r="H45" s="17" t="s">
        <v>300</v>
      </c>
      <c r="I45" s="17" t="s">
        <v>349</v>
      </c>
      <c r="J45" s="18">
        <v>46058</v>
      </c>
      <c r="K45" s="19">
        <v>100</v>
      </c>
      <c r="L45" s="20">
        <v>25.688400000000001</v>
      </c>
      <c r="M45" s="21">
        <v>1</v>
      </c>
      <c r="N45" s="22">
        <v>2568.84</v>
      </c>
      <c r="O45" s="21">
        <v>0.03</v>
      </c>
      <c r="P45" s="22">
        <f t="shared" si="0"/>
        <v>77.065200000000004</v>
      </c>
      <c r="Q45" s="16" t="s">
        <v>164</v>
      </c>
    </row>
    <row r="46" spans="1:17" x14ac:dyDescent="0.25">
      <c r="A46" s="16" t="s">
        <v>92</v>
      </c>
      <c r="B46" s="16" t="s">
        <v>93</v>
      </c>
      <c r="C46" s="16" t="s">
        <v>93</v>
      </c>
      <c r="D46" s="16" t="s">
        <v>93</v>
      </c>
      <c r="E46" s="16" t="s">
        <v>94</v>
      </c>
      <c r="F46" s="16" t="s">
        <v>13</v>
      </c>
      <c r="G46" t="s">
        <v>203</v>
      </c>
      <c r="H46" s="17" t="s">
        <v>204</v>
      </c>
      <c r="I46" s="17" t="s">
        <v>350</v>
      </c>
      <c r="J46" s="18">
        <v>46079</v>
      </c>
      <c r="K46" s="19">
        <v>27</v>
      </c>
      <c r="L46" s="20">
        <v>36.630000000000003</v>
      </c>
      <c r="M46" s="21">
        <v>1</v>
      </c>
      <c r="N46" s="22">
        <v>989.01</v>
      </c>
      <c r="O46" s="21">
        <v>0.03</v>
      </c>
      <c r="P46" s="22">
        <f t="shared" si="0"/>
        <v>29.670299999999997</v>
      </c>
      <c r="Q46" s="16" t="s">
        <v>98</v>
      </c>
    </row>
    <row r="47" spans="1:17" x14ac:dyDescent="0.25">
      <c r="A47" s="16" t="s">
        <v>92</v>
      </c>
      <c r="B47" s="16" t="s">
        <v>93</v>
      </c>
      <c r="C47" s="16" t="s">
        <v>93</v>
      </c>
      <c r="D47" s="16" t="s">
        <v>93</v>
      </c>
      <c r="E47" s="16" t="s">
        <v>202</v>
      </c>
      <c r="F47" s="16" t="s">
        <v>13</v>
      </c>
      <c r="G47" t="s">
        <v>203</v>
      </c>
      <c r="H47" s="17" t="s">
        <v>204</v>
      </c>
      <c r="I47" s="17" t="s">
        <v>351</v>
      </c>
      <c r="J47" s="18">
        <v>46056</v>
      </c>
      <c r="K47" s="19">
        <v>30</v>
      </c>
      <c r="L47" s="20">
        <v>36.630000000000003</v>
      </c>
      <c r="M47" s="21">
        <v>1</v>
      </c>
      <c r="N47" s="22">
        <v>1098.9000000000001</v>
      </c>
      <c r="O47" s="21">
        <v>0.03</v>
      </c>
      <c r="P47" s="22">
        <f t="shared" si="0"/>
        <v>32.966999999999999</v>
      </c>
      <c r="Q47" s="16" t="s">
        <v>206</v>
      </c>
    </row>
    <row r="48" spans="1:17" x14ac:dyDescent="0.25">
      <c r="A48" s="16" t="s">
        <v>92</v>
      </c>
      <c r="B48" s="16" t="s">
        <v>93</v>
      </c>
      <c r="C48" s="16" t="s">
        <v>93</v>
      </c>
      <c r="D48" s="16" t="s">
        <v>93</v>
      </c>
      <c r="E48" s="16" t="s">
        <v>94</v>
      </c>
      <c r="F48" s="16" t="s">
        <v>13</v>
      </c>
      <c r="G48" t="s">
        <v>203</v>
      </c>
      <c r="H48" s="17" t="s">
        <v>352</v>
      </c>
      <c r="I48" s="17" t="s">
        <v>353</v>
      </c>
      <c r="J48" s="18">
        <v>46056</v>
      </c>
      <c r="K48" s="19">
        <v>30</v>
      </c>
      <c r="L48" s="20">
        <v>35.82</v>
      </c>
      <c r="M48" s="21">
        <v>1</v>
      </c>
      <c r="N48" s="22">
        <v>1074.5999999999999</v>
      </c>
      <c r="O48" s="21">
        <v>0.03</v>
      </c>
      <c r="P48" s="22">
        <f t="shared" si="0"/>
        <v>32.238</v>
      </c>
      <c r="Q48" s="16" t="s">
        <v>98</v>
      </c>
    </row>
    <row r="49" spans="1:17" x14ac:dyDescent="0.25">
      <c r="A49" s="16" t="s">
        <v>92</v>
      </c>
      <c r="B49" s="16" t="s">
        <v>93</v>
      </c>
      <c r="C49" s="16" t="s">
        <v>93</v>
      </c>
      <c r="D49" s="16" t="s">
        <v>93</v>
      </c>
      <c r="E49" s="16" t="s">
        <v>202</v>
      </c>
      <c r="F49" s="16" t="s">
        <v>13</v>
      </c>
      <c r="G49" t="s">
        <v>203</v>
      </c>
      <c r="H49" s="17" t="s">
        <v>352</v>
      </c>
      <c r="I49" s="17" t="s">
        <v>354</v>
      </c>
      <c r="J49" s="18">
        <v>46079</v>
      </c>
      <c r="K49" s="19">
        <v>54</v>
      </c>
      <c r="L49" s="20">
        <v>35.82</v>
      </c>
      <c r="M49" s="21">
        <v>1</v>
      </c>
      <c r="N49" s="22">
        <v>1934.28</v>
      </c>
      <c r="O49" s="21">
        <v>0.03</v>
      </c>
      <c r="P49" s="22">
        <f t="shared" si="0"/>
        <v>58.028399999999998</v>
      </c>
      <c r="Q49" s="16" t="s">
        <v>206</v>
      </c>
    </row>
    <row r="50" spans="1:17" x14ac:dyDescent="0.25">
      <c r="A50" s="16" t="s">
        <v>92</v>
      </c>
      <c r="B50" s="16" t="s">
        <v>93</v>
      </c>
      <c r="C50" s="16" t="s">
        <v>93</v>
      </c>
      <c r="D50" s="16" t="s">
        <v>93</v>
      </c>
      <c r="E50" s="16" t="s">
        <v>94</v>
      </c>
      <c r="F50" s="16" t="s">
        <v>15</v>
      </c>
      <c r="G50" t="s">
        <v>355</v>
      </c>
      <c r="H50" s="17" t="s">
        <v>356</v>
      </c>
      <c r="I50" s="17" t="s">
        <v>357</v>
      </c>
      <c r="J50" s="18">
        <v>46064</v>
      </c>
      <c r="K50" s="19">
        <v>8</v>
      </c>
      <c r="L50" s="20">
        <v>50.16</v>
      </c>
      <c r="M50" s="21">
        <v>1</v>
      </c>
      <c r="N50" s="22">
        <v>401.28</v>
      </c>
      <c r="O50" s="21">
        <v>0.03</v>
      </c>
      <c r="P50" s="22">
        <f t="shared" si="0"/>
        <v>12.038399999999999</v>
      </c>
      <c r="Q50" s="16" t="s">
        <v>98</v>
      </c>
    </row>
    <row r="51" spans="1:17" x14ac:dyDescent="0.25">
      <c r="A51" s="16" t="s">
        <v>92</v>
      </c>
      <c r="B51" s="16" t="s">
        <v>93</v>
      </c>
      <c r="C51" s="16" t="s">
        <v>93</v>
      </c>
      <c r="D51" s="16" t="s">
        <v>93</v>
      </c>
      <c r="E51" s="16" t="s">
        <v>202</v>
      </c>
      <c r="F51" s="16" t="s">
        <v>15</v>
      </c>
      <c r="G51" t="s">
        <v>355</v>
      </c>
      <c r="H51" s="17" t="s">
        <v>358</v>
      </c>
      <c r="I51" s="17" t="s">
        <v>359</v>
      </c>
      <c r="J51" s="18">
        <v>46058</v>
      </c>
      <c r="K51" s="19">
        <v>12</v>
      </c>
      <c r="L51" s="20">
        <v>50.16</v>
      </c>
      <c r="M51" s="21">
        <v>1</v>
      </c>
      <c r="N51" s="22">
        <v>601.91999999999996</v>
      </c>
      <c r="O51" s="21">
        <v>0.03</v>
      </c>
      <c r="P51" s="22">
        <f t="shared" si="0"/>
        <v>18.057599999999997</v>
      </c>
      <c r="Q51" s="16" t="s">
        <v>206</v>
      </c>
    </row>
    <row r="52" spans="1:17" x14ac:dyDescent="0.25">
      <c r="A52" s="16" t="s">
        <v>92</v>
      </c>
      <c r="B52" s="16" t="s">
        <v>93</v>
      </c>
      <c r="C52" s="16" t="s">
        <v>93</v>
      </c>
      <c r="D52" s="16" t="s">
        <v>93</v>
      </c>
      <c r="E52" s="16" t="s">
        <v>202</v>
      </c>
      <c r="F52" s="16" t="s">
        <v>15</v>
      </c>
      <c r="G52" t="s">
        <v>355</v>
      </c>
      <c r="H52" s="17" t="s">
        <v>360</v>
      </c>
      <c r="I52" s="17" t="s">
        <v>361</v>
      </c>
      <c r="J52" s="18">
        <v>46072</v>
      </c>
      <c r="K52" s="19">
        <v>12</v>
      </c>
      <c r="L52" s="20">
        <v>50.16</v>
      </c>
      <c r="M52" s="21">
        <v>1</v>
      </c>
      <c r="N52" s="22">
        <v>601.91999999999996</v>
      </c>
      <c r="O52" s="21">
        <v>0.03</v>
      </c>
      <c r="P52" s="22">
        <f t="shared" si="0"/>
        <v>18.057599999999997</v>
      </c>
      <c r="Q52" s="16" t="s">
        <v>206</v>
      </c>
    </row>
    <row r="53" spans="1:17" x14ac:dyDescent="0.25">
      <c r="A53" s="16" t="s">
        <v>92</v>
      </c>
      <c r="B53" s="16" t="s">
        <v>93</v>
      </c>
      <c r="C53" s="16" t="s">
        <v>93</v>
      </c>
      <c r="D53" s="16" t="s">
        <v>93</v>
      </c>
      <c r="E53" s="16" t="s">
        <v>202</v>
      </c>
      <c r="F53" s="16" t="s">
        <v>15</v>
      </c>
      <c r="G53" t="s">
        <v>355</v>
      </c>
      <c r="H53" s="17" t="s">
        <v>362</v>
      </c>
      <c r="I53" s="17" t="s">
        <v>363</v>
      </c>
      <c r="J53" s="18">
        <v>46072</v>
      </c>
      <c r="K53" s="19">
        <v>12</v>
      </c>
      <c r="L53" s="20">
        <v>53.53</v>
      </c>
      <c r="M53" s="21">
        <v>1</v>
      </c>
      <c r="N53" s="22">
        <v>642.36</v>
      </c>
      <c r="O53" s="21">
        <v>0.03</v>
      </c>
      <c r="P53" s="22">
        <f t="shared" si="0"/>
        <v>19.270800000000001</v>
      </c>
      <c r="Q53" s="16" t="s">
        <v>303</v>
      </c>
    </row>
    <row r="54" spans="1:17" x14ac:dyDescent="0.25">
      <c r="A54" s="16" t="s">
        <v>92</v>
      </c>
      <c r="B54" s="16" t="s">
        <v>93</v>
      </c>
      <c r="C54" s="16" t="s">
        <v>93</v>
      </c>
      <c r="D54" s="16" t="s">
        <v>93</v>
      </c>
      <c r="E54" s="16" t="s">
        <v>202</v>
      </c>
      <c r="F54" s="16" t="s">
        <v>15</v>
      </c>
      <c r="G54" t="s">
        <v>355</v>
      </c>
      <c r="H54" s="17" t="s">
        <v>364</v>
      </c>
      <c r="I54" s="17" t="s">
        <v>359</v>
      </c>
      <c r="J54" s="18">
        <v>46058</v>
      </c>
      <c r="K54" s="19">
        <v>24</v>
      </c>
      <c r="L54" s="20">
        <v>53.53</v>
      </c>
      <c r="M54" s="21">
        <v>1</v>
      </c>
      <c r="N54" s="22">
        <v>1284.72</v>
      </c>
      <c r="O54" s="21">
        <v>0.03</v>
      </c>
      <c r="P54" s="22">
        <f t="shared" si="0"/>
        <v>38.541600000000003</v>
      </c>
      <c r="Q54" s="16" t="s">
        <v>303</v>
      </c>
    </row>
    <row r="55" spans="1:17" x14ac:dyDescent="0.25">
      <c r="A55" s="16" t="s">
        <v>92</v>
      </c>
      <c r="B55" s="16" t="s">
        <v>93</v>
      </c>
      <c r="C55" s="16" t="s">
        <v>93</v>
      </c>
      <c r="D55" s="16" t="s">
        <v>93</v>
      </c>
      <c r="E55" s="16" t="s">
        <v>115</v>
      </c>
      <c r="F55" s="16" t="s">
        <v>15</v>
      </c>
      <c r="G55" t="s">
        <v>355</v>
      </c>
      <c r="H55" s="17" t="s">
        <v>365</v>
      </c>
      <c r="I55" s="17" t="s">
        <v>366</v>
      </c>
      <c r="J55" s="18">
        <v>46064</v>
      </c>
      <c r="K55" s="19">
        <v>10</v>
      </c>
      <c r="L55" s="20">
        <v>183.66</v>
      </c>
      <c r="M55" s="21">
        <v>1</v>
      </c>
      <c r="N55" s="22">
        <v>1836.6</v>
      </c>
      <c r="O55" s="21">
        <v>0.03</v>
      </c>
      <c r="P55" s="22">
        <f t="shared" si="0"/>
        <v>55.097999999999992</v>
      </c>
      <c r="Q55" s="16" t="s">
        <v>129</v>
      </c>
    </row>
    <row r="56" spans="1:17" x14ac:dyDescent="0.25">
      <c r="A56" s="16" t="s">
        <v>92</v>
      </c>
      <c r="B56" s="16" t="s">
        <v>93</v>
      </c>
      <c r="C56" s="16" t="s">
        <v>93</v>
      </c>
      <c r="D56" s="16" t="s">
        <v>93</v>
      </c>
      <c r="E56" s="16" t="s">
        <v>115</v>
      </c>
      <c r="F56" s="16" t="s">
        <v>15</v>
      </c>
      <c r="G56" t="s">
        <v>355</v>
      </c>
      <c r="H56" s="17" t="s">
        <v>367</v>
      </c>
      <c r="I56" s="17" t="s">
        <v>368</v>
      </c>
      <c r="J56" s="18">
        <v>46076</v>
      </c>
      <c r="K56" s="19">
        <v>10</v>
      </c>
      <c r="L56" s="20">
        <v>105.24</v>
      </c>
      <c r="M56" s="21">
        <v>1</v>
      </c>
      <c r="N56" s="22">
        <v>1052.4000000000001</v>
      </c>
      <c r="O56" s="21">
        <v>0.03</v>
      </c>
      <c r="P56" s="22">
        <f t="shared" si="0"/>
        <v>31.572000000000003</v>
      </c>
      <c r="Q56" s="16" t="s">
        <v>129</v>
      </c>
    </row>
    <row r="57" spans="1:17" x14ac:dyDescent="0.25">
      <c r="A57" s="16" t="s">
        <v>92</v>
      </c>
      <c r="B57" s="16" t="s">
        <v>93</v>
      </c>
      <c r="C57" s="16" t="s">
        <v>93</v>
      </c>
      <c r="D57" s="16" t="s">
        <v>93</v>
      </c>
      <c r="E57" s="16" t="s">
        <v>115</v>
      </c>
      <c r="F57" s="16" t="s">
        <v>15</v>
      </c>
      <c r="G57" t="s">
        <v>355</v>
      </c>
      <c r="H57" s="17" t="s">
        <v>369</v>
      </c>
      <c r="I57" s="17" t="s">
        <v>368</v>
      </c>
      <c r="J57" s="18">
        <v>46076</v>
      </c>
      <c r="K57" s="19">
        <v>10</v>
      </c>
      <c r="L57" s="20">
        <v>153.53</v>
      </c>
      <c r="M57" s="21">
        <v>1</v>
      </c>
      <c r="N57" s="22">
        <v>1535.3</v>
      </c>
      <c r="O57" s="21">
        <v>0.03</v>
      </c>
      <c r="P57" s="22">
        <f t="shared" si="0"/>
        <v>46.058999999999997</v>
      </c>
      <c r="Q57" s="16" t="s">
        <v>129</v>
      </c>
    </row>
    <row r="58" spans="1:17" x14ac:dyDescent="0.25">
      <c r="A58" s="16" t="s">
        <v>92</v>
      </c>
      <c r="B58" s="16" t="s">
        <v>93</v>
      </c>
      <c r="C58" s="16" t="s">
        <v>93</v>
      </c>
      <c r="D58" s="16" t="s">
        <v>93</v>
      </c>
      <c r="E58" s="16" t="s">
        <v>94</v>
      </c>
      <c r="F58" s="16" t="s">
        <v>15</v>
      </c>
      <c r="G58" t="s">
        <v>355</v>
      </c>
      <c r="H58" s="17" t="s">
        <v>370</v>
      </c>
      <c r="I58" s="17" t="s">
        <v>371</v>
      </c>
      <c r="J58" s="18">
        <v>46077</v>
      </c>
      <c r="K58" s="19">
        <v>8</v>
      </c>
      <c r="L58" s="20">
        <v>53.53</v>
      </c>
      <c r="M58" s="21">
        <v>1</v>
      </c>
      <c r="N58" s="22">
        <v>428.24</v>
      </c>
      <c r="O58" s="21">
        <v>0.03</v>
      </c>
      <c r="P58" s="22">
        <f t="shared" si="0"/>
        <v>12.847199999999999</v>
      </c>
      <c r="Q58" s="16" t="s">
        <v>101</v>
      </c>
    </row>
    <row r="59" spans="1:17" x14ac:dyDescent="0.25">
      <c r="A59" s="16" t="s">
        <v>92</v>
      </c>
      <c r="B59" s="16" t="s">
        <v>93</v>
      </c>
      <c r="C59" s="16" t="s">
        <v>93</v>
      </c>
      <c r="D59" s="16" t="s">
        <v>93</v>
      </c>
      <c r="E59" s="16" t="s">
        <v>115</v>
      </c>
      <c r="F59" s="16" t="s">
        <v>15</v>
      </c>
      <c r="G59" t="s">
        <v>355</v>
      </c>
      <c r="H59" s="17" t="s">
        <v>372</v>
      </c>
      <c r="I59" s="17" t="s">
        <v>373</v>
      </c>
      <c r="J59" s="18">
        <v>46058</v>
      </c>
      <c r="K59" s="19">
        <v>20</v>
      </c>
      <c r="L59" s="20">
        <v>105.24</v>
      </c>
      <c r="M59" s="21">
        <v>1</v>
      </c>
      <c r="N59" s="22">
        <v>2104.8000000000002</v>
      </c>
      <c r="O59" s="21">
        <v>0.03</v>
      </c>
      <c r="P59" s="22">
        <f t="shared" si="0"/>
        <v>63.144000000000005</v>
      </c>
      <c r="Q59" s="16" t="s">
        <v>129</v>
      </c>
    </row>
    <row r="60" spans="1:17" x14ac:dyDescent="0.25">
      <c r="A60" s="16" t="s">
        <v>92</v>
      </c>
      <c r="B60" s="16" t="s">
        <v>93</v>
      </c>
      <c r="C60" s="16" t="s">
        <v>93</v>
      </c>
      <c r="D60" s="16" t="s">
        <v>93</v>
      </c>
      <c r="E60" s="16" t="s">
        <v>115</v>
      </c>
      <c r="F60" s="16" t="s">
        <v>71</v>
      </c>
      <c r="G60" t="s">
        <v>211</v>
      </c>
      <c r="H60" s="17" t="s">
        <v>374</v>
      </c>
      <c r="I60" s="17" t="s">
        <v>375</v>
      </c>
      <c r="J60" s="18">
        <v>46077</v>
      </c>
      <c r="K60" s="19">
        <v>40</v>
      </c>
      <c r="L60" s="20">
        <v>183.45</v>
      </c>
      <c r="M60" s="21">
        <v>1</v>
      </c>
      <c r="N60" s="22">
        <v>7338</v>
      </c>
      <c r="O60" s="21">
        <v>0.03</v>
      </c>
      <c r="P60" s="22">
        <f t="shared" si="0"/>
        <v>220.14</v>
      </c>
      <c r="Q60" s="16" t="s">
        <v>129</v>
      </c>
    </row>
    <row r="61" spans="1:17" x14ac:dyDescent="0.25">
      <c r="A61" s="16" t="s">
        <v>92</v>
      </c>
      <c r="B61" s="16" t="s">
        <v>93</v>
      </c>
      <c r="C61" s="16" t="s">
        <v>93</v>
      </c>
      <c r="D61" s="16" t="s">
        <v>93</v>
      </c>
      <c r="E61" s="16" t="s">
        <v>153</v>
      </c>
      <c r="F61" s="16" t="s">
        <v>70</v>
      </c>
      <c r="G61" t="s">
        <v>224</v>
      </c>
      <c r="H61" s="17" t="s">
        <v>225</v>
      </c>
      <c r="I61" s="17" t="s">
        <v>376</v>
      </c>
      <c r="J61" s="18">
        <v>46066</v>
      </c>
      <c r="K61" s="19">
        <v>48</v>
      </c>
      <c r="L61" s="20">
        <v>38.590000000000003</v>
      </c>
      <c r="M61" s="21">
        <v>1</v>
      </c>
      <c r="N61" s="22">
        <v>1852.32</v>
      </c>
      <c r="O61" s="21">
        <v>0.03</v>
      </c>
      <c r="P61" s="22">
        <f t="shared" si="0"/>
        <v>55.569599999999994</v>
      </c>
      <c r="Q61" s="16" t="s">
        <v>227</v>
      </c>
    </row>
    <row r="62" spans="1:17" x14ac:dyDescent="0.25">
      <c r="A62" s="16" t="s">
        <v>92</v>
      </c>
      <c r="B62" s="16" t="s">
        <v>93</v>
      </c>
      <c r="C62" s="16" t="s">
        <v>93</v>
      </c>
      <c r="D62" s="16" t="s">
        <v>93</v>
      </c>
      <c r="E62" s="16" t="s">
        <v>153</v>
      </c>
      <c r="F62" s="16" t="s">
        <v>70</v>
      </c>
      <c r="G62" t="s">
        <v>224</v>
      </c>
      <c r="H62" s="17" t="s">
        <v>377</v>
      </c>
      <c r="I62" s="17" t="s">
        <v>376</v>
      </c>
      <c r="J62" s="18">
        <v>46066</v>
      </c>
      <c r="K62" s="19">
        <v>8</v>
      </c>
      <c r="L62" s="20">
        <v>50.75</v>
      </c>
      <c r="M62" s="21">
        <v>1</v>
      </c>
      <c r="N62" s="22">
        <v>406</v>
      </c>
      <c r="O62" s="21">
        <v>0.03</v>
      </c>
      <c r="P62" s="22">
        <f t="shared" si="0"/>
        <v>12.18</v>
      </c>
      <c r="Q62" s="16" t="s">
        <v>156</v>
      </c>
    </row>
    <row r="63" spans="1:17" x14ac:dyDescent="0.25">
      <c r="A63" s="16" t="s">
        <v>92</v>
      </c>
      <c r="B63" s="16" t="s">
        <v>93</v>
      </c>
      <c r="C63" s="16" t="s">
        <v>93</v>
      </c>
      <c r="D63" s="16" t="s">
        <v>93</v>
      </c>
      <c r="E63" s="16" t="s">
        <v>202</v>
      </c>
      <c r="F63" s="16" t="s">
        <v>17</v>
      </c>
      <c r="G63" t="s">
        <v>378</v>
      </c>
      <c r="H63" s="17" t="s">
        <v>379</v>
      </c>
      <c r="I63" s="17" t="s">
        <v>380</v>
      </c>
      <c r="J63" s="18">
        <v>46069</v>
      </c>
      <c r="K63" s="19">
        <v>10</v>
      </c>
      <c r="L63" s="20">
        <v>92.78</v>
      </c>
      <c r="M63" s="21">
        <v>1</v>
      </c>
      <c r="N63" s="22">
        <v>927.8</v>
      </c>
      <c r="O63" s="21">
        <v>0.03</v>
      </c>
      <c r="P63" s="22">
        <f t="shared" si="0"/>
        <v>27.833999999999996</v>
      </c>
      <c r="Q63" s="16" t="s">
        <v>206</v>
      </c>
    </row>
    <row r="64" spans="1:17" x14ac:dyDescent="0.25">
      <c r="A64" s="16" t="s">
        <v>92</v>
      </c>
      <c r="B64" s="16" t="s">
        <v>93</v>
      </c>
      <c r="C64" s="16" t="s">
        <v>93</v>
      </c>
      <c r="D64" s="16" t="s">
        <v>93</v>
      </c>
      <c r="E64" s="16" t="s">
        <v>94</v>
      </c>
      <c r="F64" s="16" t="s">
        <v>51</v>
      </c>
      <c r="G64" t="s">
        <v>381</v>
      </c>
      <c r="H64" s="17" t="s">
        <v>382</v>
      </c>
      <c r="I64" s="17" t="s">
        <v>383</v>
      </c>
      <c r="J64" s="18">
        <v>46055</v>
      </c>
      <c r="K64" s="19">
        <v>20</v>
      </c>
      <c r="L64" s="20">
        <v>45.47</v>
      </c>
      <c r="M64" s="21">
        <v>1</v>
      </c>
      <c r="N64" s="22">
        <v>909.4</v>
      </c>
      <c r="O64" s="21">
        <v>0.03</v>
      </c>
      <c r="P64" s="22">
        <f t="shared" si="0"/>
        <v>27.282</v>
      </c>
      <c r="Q64" s="16" t="s">
        <v>98</v>
      </c>
    </row>
    <row r="65" spans="1:17" x14ac:dyDescent="0.25">
      <c r="A65" s="16" t="s">
        <v>92</v>
      </c>
      <c r="B65" s="16" t="s">
        <v>93</v>
      </c>
      <c r="C65" s="16" t="s">
        <v>93</v>
      </c>
      <c r="D65" s="16" t="s">
        <v>93</v>
      </c>
      <c r="E65" s="16" t="s">
        <v>94</v>
      </c>
      <c r="F65" s="16" t="s">
        <v>51</v>
      </c>
      <c r="G65" t="s">
        <v>381</v>
      </c>
      <c r="H65" s="17" t="s">
        <v>384</v>
      </c>
      <c r="I65" s="17" t="s">
        <v>383</v>
      </c>
      <c r="J65" s="18">
        <v>46055</v>
      </c>
      <c r="K65" s="19">
        <v>8</v>
      </c>
      <c r="L65" s="20">
        <v>77.36</v>
      </c>
      <c r="M65" s="21">
        <v>1</v>
      </c>
      <c r="N65" s="22">
        <v>618.88</v>
      </c>
      <c r="O65" s="21">
        <v>0.03</v>
      </c>
      <c r="P65" s="22">
        <f t="shared" si="0"/>
        <v>18.566399999999998</v>
      </c>
      <c r="Q65" s="16" t="s">
        <v>98</v>
      </c>
    </row>
    <row r="66" spans="1:17" x14ac:dyDescent="0.25">
      <c r="A66" s="16" t="s">
        <v>92</v>
      </c>
      <c r="B66" s="16" t="s">
        <v>93</v>
      </c>
      <c r="C66" s="16" t="s">
        <v>93</v>
      </c>
      <c r="D66" s="16" t="s">
        <v>93</v>
      </c>
      <c r="E66" s="16" t="s">
        <v>275</v>
      </c>
      <c r="F66" s="16" t="s">
        <v>47</v>
      </c>
      <c r="G66" t="s">
        <v>385</v>
      </c>
      <c r="H66" s="17" t="s">
        <v>386</v>
      </c>
      <c r="I66" s="17" t="s">
        <v>387</v>
      </c>
      <c r="J66" s="18">
        <v>46080</v>
      </c>
      <c r="K66" s="19">
        <v>8</v>
      </c>
      <c r="L66" s="20">
        <v>397.04</v>
      </c>
      <c r="M66" s="21">
        <v>1</v>
      </c>
      <c r="N66" s="22">
        <v>3176.32</v>
      </c>
      <c r="O66" s="21">
        <v>0.03</v>
      </c>
      <c r="P66" s="22">
        <f t="shared" ref="P66:P80" si="1">N66 * O66</f>
        <v>95.289600000000007</v>
      </c>
      <c r="Q66" s="16" t="s">
        <v>278</v>
      </c>
    </row>
    <row r="67" spans="1:17" x14ac:dyDescent="0.25">
      <c r="A67" s="16" t="s">
        <v>92</v>
      </c>
      <c r="B67" s="16" t="s">
        <v>93</v>
      </c>
      <c r="C67" s="16" t="s">
        <v>93</v>
      </c>
      <c r="D67" s="16" t="s">
        <v>93</v>
      </c>
      <c r="E67" s="16" t="s">
        <v>94</v>
      </c>
      <c r="F67" s="16" t="s">
        <v>19</v>
      </c>
      <c r="G67" t="s">
        <v>233</v>
      </c>
      <c r="H67" s="17" t="s">
        <v>234</v>
      </c>
      <c r="I67" s="17" t="s">
        <v>388</v>
      </c>
      <c r="J67" s="18">
        <v>46069</v>
      </c>
      <c r="K67" s="19">
        <v>90</v>
      </c>
      <c r="L67" s="20">
        <v>26.26</v>
      </c>
      <c r="M67" s="21">
        <v>1</v>
      </c>
      <c r="N67" s="22">
        <v>2363.4</v>
      </c>
      <c r="O67" s="21">
        <v>0.01</v>
      </c>
      <c r="P67" s="22">
        <f t="shared" si="1"/>
        <v>23.634</v>
      </c>
      <c r="Q67" s="16" t="s">
        <v>101</v>
      </c>
    </row>
    <row r="68" spans="1:17" x14ac:dyDescent="0.25">
      <c r="A68" s="16" t="s">
        <v>92</v>
      </c>
      <c r="B68" s="16" t="s">
        <v>93</v>
      </c>
      <c r="C68" s="16" t="s">
        <v>93</v>
      </c>
      <c r="D68" s="16" t="s">
        <v>93</v>
      </c>
      <c r="E68" s="16" t="s">
        <v>94</v>
      </c>
      <c r="F68" s="16" t="s">
        <v>19</v>
      </c>
      <c r="G68" t="s">
        <v>233</v>
      </c>
      <c r="H68" s="17" t="s">
        <v>240</v>
      </c>
      <c r="I68" s="17" t="s">
        <v>388</v>
      </c>
      <c r="J68" s="18">
        <v>46069</v>
      </c>
      <c r="K68" s="19">
        <v>90</v>
      </c>
      <c r="L68" s="20">
        <v>26.47</v>
      </c>
      <c r="M68" s="21">
        <v>1</v>
      </c>
      <c r="N68" s="22">
        <v>2382.3000000000002</v>
      </c>
      <c r="O68" s="21">
        <v>0.01</v>
      </c>
      <c r="P68" s="22">
        <f t="shared" si="1"/>
        <v>23.823000000000004</v>
      </c>
      <c r="Q68" s="16" t="s">
        <v>101</v>
      </c>
    </row>
    <row r="69" spans="1:17" x14ac:dyDescent="0.25">
      <c r="A69" s="16" t="s">
        <v>92</v>
      </c>
      <c r="B69" s="16" t="s">
        <v>93</v>
      </c>
      <c r="C69" s="16" t="s">
        <v>93</v>
      </c>
      <c r="D69" s="16" t="s">
        <v>93</v>
      </c>
      <c r="E69" s="16" t="s">
        <v>94</v>
      </c>
      <c r="F69" s="16" t="s">
        <v>19</v>
      </c>
      <c r="G69" t="s">
        <v>233</v>
      </c>
      <c r="H69" s="17" t="s">
        <v>243</v>
      </c>
      <c r="I69" s="17" t="s">
        <v>388</v>
      </c>
      <c r="J69" s="18">
        <v>46069</v>
      </c>
      <c r="K69" s="19">
        <v>120</v>
      </c>
      <c r="L69" s="20">
        <v>27.29</v>
      </c>
      <c r="M69" s="21">
        <v>1</v>
      </c>
      <c r="N69" s="22">
        <v>3274.8</v>
      </c>
      <c r="O69" s="21">
        <v>0.01</v>
      </c>
      <c r="P69" s="22">
        <f t="shared" si="1"/>
        <v>32.748000000000005</v>
      </c>
      <c r="Q69" s="16" t="s">
        <v>101</v>
      </c>
    </row>
    <row r="70" spans="1:17" x14ac:dyDescent="0.25">
      <c r="A70" s="16" t="s">
        <v>92</v>
      </c>
      <c r="B70" s="16" t="s">
        <v>93</v>
      </c>
      <c r="C70" s="16" t="s">
        <v>93</v>
      </c>
      <c r="D70" s="16" t="s">
        <v>93</v>
      </c>
      <c r="E70" s="16" t="s">
        <v>94</v>
      </c>
      <c r="F70" s="16" t="s">
        <v>19</v>
      </c>
      <c r="G70" t="s">
        <v>233</v>
      </c>
      <c r="H70" s="17" t="s">
        <v>236</v>
      </c>
      <c r="I70" s="17" t="s">
        <v>388</v>
      </c>
      <c r="J70" s="18">
        <v>46069</v>
      </c>
      <c r="K70" s="19">
        <v>360</v>
      </c>
      <c r="L70" s="20">
        <v>27.29</v>
      </c>
      <c r="M70" s="21">
        <v>1</v>
      </c>
      <c r="N70" s="22">
        <v>9824.4</v>
      </c>
      <c r="O70" s="21">
        <v>0.01</v>
      </c>
      <c r="P70" s="22">
        <f t="shared" si="1"/>
        <v>98.244</v>
      </c>
      <c r="Q70" s="16" t="s">
        <v>101</v>
      </c>
    </row>
    <row r="71" spans="1:17" x14ac:dyDescent="0.25">
      <c r="A71" s="16" t="s">
        <v>92</v>
      </c>
      <c r="B71" s="16" t="s">
        <v>93</v>
      </c>
      <c r="C71" s="16" t="s">
        <v>93</v>
      </c>
      <c r="D71" s="16" t="s">
        <v>93</v>
      </c>
      <c r="E71" s="16" t="s">
        <v>94</v>
      </c>
      <c r="F71" s="16" t="s">
        <v>19</v>
      </c>
      <c r="G71" t="s">
        <v>233</v>
      </c>
      <c r="H71" s="17" t="s">
        <v>247</v>
      </c>
      <c r="I71" s="17" t="s">
        <v>389</v>
      </c>
      <c r="J71" s="18">
        <v>46069</v>
      </c>
      <c r="K71" s="19">
        <v>114</v>
      </c>
      <c r="L71" s="20">
        <v>27.29</v>
      </c>
      <c r="M71" s="21">
        <v>1</v>
      </c>
      <c r="N71" s="22">
        <v>3111.06</v>
      </c>
      <c r="O71" s="21">
        <v>0.01</v>
      </c>
      <c r="P71" s="22">
        <f t="shared" si="1"/>
        <v>31.110600000000002</v>
      </c>
      <c r="Q71" s="16" t="s">
        <v>101</v>
      </c>
    </row>
    <row r="72" spans="1:17" x14ac:dyDescent="0.25">
      <c r="A72" s="16" t="s">
        <v>92</v>
      </c>
      <c r="B72" s="16" t="s">
        <v>93</v>
      </c>
      <c r="C72" s="16" t="s">
        <v>93</v>
      </c>
      <c r="D72" s="16" t="s">
        <v>93</v>
      </c>
      <c r="E72" s="16" t="s">
        <v>94</v>
      </c>
      <c r="F72" s="16" t="s">
        <v>19</v>
      </c>
      <c r="G72" t="s">
        <v>233</v>
      </c>
      <c r="H72" s="17" t="s">
        <v>249</v>
      </c>
      <c r="I72" s="17" t="s">
        <v>389</v>
      </c>
      <c r="J72" s="18">
        <v>46069</v>
      </c>
      <c r="K72" s="19">
        <v>70</v>
      </c>
      <c r="L72" s="20">
        <v>29.12</v>
      </c>
      <c r="M72" s="21">
        <v>1</v>
      </c>
      <c r="N72" s="22">
        <v>2038.4</v>
      </c>
      <c r="O72" s="21">
        <v>0.01</v>
      </c>
      <c r="P72" s="22">
        <f t="shared" si="1"/>
        <v>20.384</v>
      </c>
      <c r="Q72" s="16" t="s">
        <v>101</v>
      </c>
    </row>
    <row r="73" spans="1:17" x14ac:dyDescent="0.25">
      <c r="A73" s="16" t="s">
        <v>92</v>
      </c>
      <c r="B73" s="16" t="s">
        <v>93</v>
      </c>
      <c r="C73" s="16" t="s">
        <v>93</v>
      </c>
      <c r="D73" s="16" t="s">
        <v>93</v>
      </c>
      <c r="E73" s="16" t="s">
        <v>94</v>
      </c>
      <c r="F73" s="16" t="s">
        <v>19</v>
      </c>
      <c r="G73" t="s">
        <v>233</v>
      </c>
      <c r="H73" s="17" t="s">
        <v>243</v>
      </c>
      <c r="I73" s="17" t="s">
        <v>390</v>
      </c>
      <c r="J73" s="18">
        <v>46062</v>
      </c>
      <c r="K73" s="19">
        <v>120</v>
      </c>
      <c r="L73" s="20">
        <v>27.29</v>
      </c>
      <c r="M73" s="21">
        <v>1</v>
      </c>
      <c r="N73" s="22">
        <v>3274.8</v>
      </c>
      <c r="O73" s="21">
        <v>0.01</v>
      </c>
      <c r="P73" s="22">
        <f t="shared" si="1"/>
        <v>32.748000000000005</v>
      </c>
      <c r="Q73" s="16" t="s">
        <v>101</v>
      </c>
    </row>
    <row r="74" spans="1:17" x14ac:dyDescent="0.25">
      <c r="A74" s="16" t="s">
        <v>92</v>
      </c>
      <c r="B74" s="16" t="s">
        <v>93</v>
      </c>
      <c r="C74" s="16" t="s">
        <v>93</v>
      </c>
      <c r="D74" s="16" t="s">
        <v>93</v>
      </c>
      <c r="E74" s="16" t="s">
        <v>94</v>
      </c>
      <c r="F74" s="16" t="s">
        <v>19</v>
      </c>
      <c r="G74" t="s">
        <v>233</v>
      </c>
      <c r="H74" s="17" t="s">
        <v>236</v>
      </c>
      <c r="I74" s="17" t="s">
        <v>390</v>
      </c>
      <c r="J74" s="18">
        <v>46062</v>
      </c>
      <c r="K74" s="19">
        <v>480</v>
      </c>
      <c r="L74" s="20">
        <v>27.29</v>
      </c>
      <c r="M74" s="21">
        <v>1</v>
      </c>
      <c r="N74" s="22">
        <v>13099.2</v>
      </c>
      <c r="O74" s="21">
        <v>0.01</v>
      </c>
      <c r="P74" s="22">
        <f t="shared" si="1"/>
        <v>130.99200000000002</v>
      </c>
      <c r="Q74" s="16" t="s">
        <v>101</v>
      </c>
    </row>
    <row r="75" spans="1:17" x14ac:dyDescent="0.25">
      <c r="A75" s="16" t="s">
        <v>92</v>
      </c>
      <c r="B75" s="16" t="s">
        <v>93</v>
      </c>
      <c r="C75" s="16" t="s">
        <v>93</v>
      </c>
      <c r="D75" s="16" t="s">
        <v>93</v>
      </c>
      <c r="E75" s="16" t="s">
        <v>94</v>
      </c>
      <c r="F75" s="16" t="s">
        <v>19</v>
      </c>
      <c r="G75" t="s">
        <v>233</v>
      </c>
      <c r="H75" s="17" t="s">
        <v>236</v>
      </c>
      <c r="I75" s="17" t="s">
        <v>391</v>
      </c>
      <c r="J75" s="18">
        <v>46077</v>
      </c>
      <c r="K75" s="19">
        <v>480</v>
      </c>
      <c r="L75" s="20">
        <v>27.29</v>
      </c>
      <c r="M75" s="21">
        <v>1</v>
      </c>
      <c r="N75" s="22">
        <v>13099.2</v>
      </c>
      <c r="O75" s="21">
        <v>0.01</v>
      </c>
      <c r="P75" s="22">
        <f t="shared" si="1"/>
        <v>130.99200000000002</v>
      </c>
      <c r="Q75" s="16" t="s">
        <v>101</v>
      </c>
    </row>
    <row r="76" spans="1:17" x14ac:dyDescent="0.25">
      <c r="A76" s="16" t="s">
        <v>92</v>
      </c>
      <c r="B76" s="16" t="s">
        <v>93</v>
      </c>
      <c r="C76" s="16" t="s">
        <v>93</v>
      </c>
      <c r="D76" s="16" t="s">
        <v>93</v>
      </c>
      <c r="E76" s="16" t="s">
        <v>94</v>
      </c>
      <c r="F76" s="16" t="s">
        <v>19</v>
      </c>
      <c r="G76" t="s">
        <v>233</v>
      </c>
      <c r="H76" s="17" t="s">
        <v>247</v>
      </c>
      <c r="I76" s="17" t="s">
        <v>392</v>
      </c>
      <c r="J76" s="18">
        <v>46063</v>
      </c>
      <c r="K76" s="19">
        <v>126</v>
      </c>
      <c r="L76" s="20">
        <v>27.29</v>
      </c>
      <c r="M76" s="21">
        <v>1</v>
      </c>
      <c r="N76" s="22">
        <v>3438.54</v>
      </c>
      <c r="O76" s="21">
        <v>0.01</v>
      </c>
      <c r="P76" s="22">
        <f t="shared" si="1"/>
        <v>34.385399999999997</v>
      </c>
      <c r="Q76" s="16" t="s">
        <v>101</v>
      </c>
    </row>
    <row r="77" spans="1:17" x14ac:dyDescent="0.25">
      <c r="A77" s="16" t="s">
        <v>92</v>
      </c>
      <c r="B77" s="16" t="s">
        <v>93</v>
      </c>
      <c r="C77" s="16" t="s">
        <v>93</v>
      </c>
      <c r="D77" s="16" t="s">
        <v>93</v>
      </c>
      <c r="E77" s="16" t="s">
        <v>94</v>
      </c>
      <c r="F77" s="16" t="s">
        <v>19</v>
      </c>
      <c r="G77" t="s">
        <v>233</v>
      </c>
      <c r="H77" s="17" t="s">
        <v>249</v>
      </c>
      <c r="I77" s="17" t="s">
        <v>392</v>
      </c>
      <c r="J77" s="18">
        <v>46063</v>
      </c>
      <c r="K77" s="19">
        <v>130</v>
      </c>
      <c r="L77" s="20">
        <v>29.12</v>
      </c>
      <c r="M77" s="21">
        <v>1</v>
      </c>
      <c r="N77" s="22">
        <v>3785.6</v>
      </c>
      <c r="O77" s="21">
        <v>0.01</v>
      </c>
      <c r="P77" s="22">
        <f t="shared" si="1"/>
        <v>37.856000000000002</v>
      </c>
      <c r="Q77" s="16" t="s">
        <v>101</v>
      </c>
    </row>
    <row r="78" spans="1:17" x14ac:dyDescent="0.25">
      <c r="A78" s="16" t="s">
        <v>92</v>
      </c>
      <c r="B78" s="16" t="s">
        <v>93</v>
      </c>
      <c r="C78" s="16" t="s">
        <v>93</v>
      </c>
      <c r="D78" s="16" t="s">
        <v>93</v>
      </c>
      <c r="E78" s="16" t="s">
        <v>94</v>
      </c>
      <c r="F78" s="16" t="s">
        <v>72</v>
      </c>
      <c r="G78" t="s">
        <v>266</v>
      </c>
      <c r="H78" s="17" t="s">
        <v>269</v>
      </c>
      <c r="I78" s="17" t="s">
        <v>393</v>
      </c>
      <c r="J78" s="18">
        <v>46055</v>
      </c>
      <c r="K78" s="19">
        <v>5</v>
      </c>
      <c r="L78" s="20">
        <v>34.369999999999997</v>
      </c>
      <c r="M78" s="21">
        <v>1</v>
      </c>
      <c r="N78" s="22">
        <v>171.85</v>
      </c>
      <c r="O78" s="21">
        <v>0.03</v>
      </c>
      <c r="P78" s="22">
        <f t="shared" si="1"/>
        <v>5.1555</v>
      </c>
      <c r="Q78" s="16" t="s">
        <v>101</v>
      </c>
    </row>
    <row r="79" spans="1:17" x14ac:dyDescent="0.25">
      <c r="A79" s="16" t="s">
        <v>92</v>
      </c>
      <c r="B79" s="16" t="s">
        <v>93</v>
      </c>
      <c r="C79" s="16" t="s">
        <v>93</v>
      </c>
      <c r="D79" s="16" t="s">
        <v>93</v>
      </c>
      <c r="E79" s="16" t="s">
        <v>94</v>
      </c>
      <c r="F79" s="16" t="s">
        <v>72</v>
      </c>
      <c r="G79" t="s">
        <v>266</v>
      </c>
      <c r="H79" s="17" t="s">
        <v>269</v>
      </c>
      <c r="I79" s="17" t="s">
        <v>394</v>
      </c>
      <c r="J79" s="18">
        <v>46076</v>
      </c>
      <c r="K79" s="19">
        <v>10</v>
      </c>
      <c r="L79" s="20">
        <v>34.369999999999997</v>
      </c>
      <c r="M79" s="21">
        <v>1</v>
      </c>
      <c r="N79" s="22">
        <v>343.7</v>
      </c>
      <c r="O79" s="21">
        <v>0.03</v>
      </c>
      <c r="P79" s="22">
        <f t="shared" si="1"/>
        <v>10.311</v>
      </c>
      <c r="Q79" s="16" t="s">
        <v>101</v>
      </c>
    </row>
    <row r="80" spans="1:17" x14ac:dyDescent="0.25">
      <c r="A80" s="16" t="s">
        <v>92</v>
      </c>
      <c r="B80" s="16" t="s">
        <v>93</v>
      </c>
      <c r="C80" s="16" t="s">
        <v>93</v>
      </c>
      <c r="D80" s="16" t="s">
        <v>93</v>
      </c>
      <c r="E80" s="16" t="s">
        <v>160</v>
      </c>
      <c r="F80" s="16" t="s">
        <v>72</v>
      </c>
      <c r="G80" t="s">
        <v>266</v>
      </c>
      <c r="H80" s="17" t="s">
        <v>271</v>
      </c>
      <c r="I80" s="17" t="s">
        <v>395</v>
      </c>
      <c r="J80" s="18">
        <v>46062</v>
      </c>
      <c r="K80" s="19">
        <v>36000</v>
      </c>
      <c r="L80" s="20">
        <v>0.17599999999999999</v>
      </c>
      <c r="M80" s="21">
        <v>1</v>
      </c>
      <c r="N80" s="22">
        <v>6336</v>
      </c>
      <c r="O80" s="21">
        <v>0.03</v>
      </c>
      <c r="P80" s="22">
        <f t="shared" si="1"/>
        <v>190.07999999999998</v>
      </c>
      <c r="Q80" s="16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A31D-AA82-48D3-88F4-32C8AA436D13}">
  <dimension ref="A1:U120"/>
  <sheetViews>
    <sheetView topLeftCell="I1" workbookViewId="0">
      <selection activeCell="S3" sqref="S3"/>
    </sheetView>
  </sheetViews>
  <sheetFormatPr defaultRowHeight="15" x14ac:dyDescent="0.25"/>
  <cols>
    <col min="1" max="1" width="6.140625" customWidth="1"/>
    <col min="2" max="2" width="8.7109375" customWidth="1"/>
    <col min="3" max="3" width="7.140625" customWidth="1"/>
    <col min="4" max="4" width="10.85546875" customWidth="1"/>
    <col min="5" max="5" width="10.42578125" customWidth="1"/>
    <col min="6" max="6" width="7" customWidth="1"/>
    <col min="7" max="7" width="58.140625" customWidth="1"/>
    <col min="8" max="8" width="25.85546875" customWidth="1"/>
    <col min="9" max="9" width="13.140625" customWidth="1"/>
    <col min="10" max="10" width="12.42578125" customWidth="1"/>
    <col min="11" max="11" width="12.140625" customWidth="1"/>
    <col min="12" max="12" width="10.5703125" customWidth="1"/>
    <col min="13" max="13" width="15.85546875" customWidth="1"/>
    <col min="14" max="14" width="12.140625" customWidth="1"/>
    <col min="15" max="15" width="11.7109375" customWidth="1"/>
    <col min="16" max="16" width="14.42578125" customWidth="1"/>
    <col min="17" max="17" width="15.7109375" customWidth="1"/>
    <col min="19" max="19" width="13.42578125" bestFit="1" customWidth="1"/>
    <col min="20" max="20" width="16" bestFit="1" customWidth="1"/>
    <col min="21" max="21" width="19.42578125" bestFit="1" customWidth="1"/>
  </cols>
  <sheetData>
    <row r="1" spans="1:21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</row>
    <row r="2" spans="1:21" x14ac:dyDescent="0.25">
      <c r="A2" s="16" t="s">
        <v>92</v>
      </c>
      <c r="B2" s="16" t="s">
        <v>93</v>
      </c>
      <c r="C2" s="16" t="s">
        <v>93</v>
      </c>
      <c r="D2" s="16" t="s">
        <v>93</v>
      </c>
      <c r="E2" s="16" t="s">
        <v>94</v>
      </c>
      <c r="F2" s="16" t="s">
        <v>0</v>
      </c>
      <c r="G2" t="s">
        <v>95</v>
      </c>
      <c r="H2" s="17" t="s">
        <v>96</v>
      </c>
      <c r="I2" s="17" t="s">
        <v>97</v>
      </c>
      <c r="J2" s="18">
        <v>46036</v>
      </c>
      <c r="K2" s="19">
        <v>4</v>
      </c>
      <c r="L2" s="20">
        <v>171.53</v>
      </c>
      <c r="M2" s="21">
        <v>1</v>
      </c>
      <c r="N2" s="22">
        <v>686.12</v>
      </c>
      <c r="O2" s="21">
        <v>0.03</v>
      </c>
      <c r="P2" s="22">
        <f t="shared" ref="P2:P65" si="0">N2 * O2</f>
        <v>20.583600000000001</v>
      </c>
      <c r="Q2" s="16" t="s">
        <v>98</v>
      </c>
    </row>
    <row r="3" spans="1:21" x14ac:dyDescent="0.25">
      <c r="A3" s="16" t="s">
        <v>92</v>
      </c>
      <c r="B3" s="16" t="s">
        <v>93</v>
      </c>
      <c r="C3" s="16" t="s">
        <v>93</v>
      </c>
      <c r="D3" s="16" t="s">
        <v>93</v>
      </c>
      <c r="E3" s="16" t="s">
        <v>94</v>
      </c>
      <c r="F3" s="16" t="s">
        <v>0</v>
      </c>
      <c r="G3" t="s">
        <v>95</v>
      </c>
      <c r="H3" s="17" t="s">
        <v>99</v>
      </c>
      <c r="I3" s="17" t="s">
        <v>100</v>
      </c>
      <c r="J3" s="18">
        <v>46050</v>
      </c>
      <c r="K3" s="19">
        <v>10</v>
      </c>
      <c r="L3" s="20">
        <v>49.34</v>
      </c>
      <c r="M3" s="21">
        <v>1</v>
      </c>
      <c r="N3" s="22">
        <v>493.4</v>
      </c>
      <c r="O3" s="21">
        <v>0.03</v>
      </c>
      <c r="P3" s="22">
        <f t="shared" si="0"/>
        <v>14.802</v>
      </c>
      <c r="Q3" s="16" t="s">
        <v>101</v>
      </c>
      <c r="S3" t="s">
        <v>102</v>
      </c>
      <c r="T3" t="s">
        <v>103</v>
      </c>
      <c r="U3" t="s">
        <v>104</v>
      </c>
    </row>
    <row r="4" spans="1:21" x14ac:dyDescent="0.25">
      <c r="A4" s="16" t="s">
        <v>92</v>
      </c>
      <c r="B4" s="16" t="s">
        <v>93</v>
      </c>
      <c r="C4" s="16" t="s">
        <v>93</v>
      </c>
      <c r="D4" s="16" t="s">
        <v>93</v>
      </c>
      <c r="E4" s="16" t="s">
        <v>94</v>
      </c>
      <c r="F4" s="16" t="s">
        <v>0</v>
      </c>
      <c r="G4" t="s">
        <v>95</v>
      </c>
      <c r="H4" s="17" t="s">
        <v>105</v>
      </c>
      <c r="I4" s="17" t="s">
        <v>97</v>
      </c>
      <c r="J4" s="18">
        <v>46036</v>
      </c>
      <c r="K4" s="19">
        <v>10</v>
      </c>
      <c r="L4" s="20">
        <v>40.950000000000003</v>
      </c>
      <c r="M4" s="21">
        <v>1</v>
      </c>
      <c r="N4" s="22">
        <v>409.5</v>
      </c>
      <c r="O4" s="21">
        <v>0.03</v>
      </c>
      <c r="P4" s="22">
        <f t="shared" si="0"/>
        <v>12.285</v>
      </c>
      <c r="Q4" s="16" t="s">
        <v>101</v>
      </c>
      <c r="S4" s="23" t="s">
        <v>0</v>
      </c>
      <c r="T4" s="24">
        <v>2492.34</v>
      </c>
      <c r="U4" s="24">
        <v>74.770199999999988</v>
      </c>
    </row>
    <row r="5" spans="1:21" x14ac:dyDescent="0.25">
      <c r="A5" s="16" t="s">
        <v>92</v>
      </c>
      <c r="B5" s="16" t="s">
        <v>93</v>
      </c>
      <c r="C5" s="16" t="s">
        <v>93</v>
      </c>
      <c r="D5" s="16" t="s">
        <v>93</v>
      </c>
      <c r="E5" s="16" t="s">
        <v>94</v>
      </c>
      <c r="F5" s="16" t="s">
        <v>0</v>
      </c>
      <c r="G5" t="s">
        <v>95</v>
      </c>
      <c r="H5" s="17" t="s">
        <v>106</v>
      </c>
      <c r="I5" s="17" t="s">
        <v>107</v>
      </c>
      <c r="J5" s="18">
        <v>46029</v>
      </c>
      <c r="K5" s="19">
        <v>10</v>
      </c>
      <c r="L5" s="20">
        <v>40.11</v>
      </c>
      <c r="M5" s="21">
        <v>1</v>
      </c>
      <c r="N5" s="22">
        <v>401.1</v>
      </c>
      <c r="O5" s="21">
        <v>0.03</v>
      </c>
      <c r="P5" s="22">
        <f t="shared" si="0"/>
        <v>12.032999999999999</v>
      </c>
      <c r="Q5" s="16" t="s">
        <v>101</v>
      </c>
      <c r="S5" s="23" t="s">
        <v>1</v>
      </c>
      <c r="T5" s="24">
        <v>27640.91</v>
      </c>
      <c r="U5" s="24">
        <v>1147.4232999999999</v>
      </c>
    </row>
    <row r="6" spans="1:21" x14ac:dyDescent="0.25">
      <c r="A6" s="16" t="s">
        <v>92</v>
      </c>
      <c r="B6" s="16" t="s">
        <v>93</v>
      </c>
      <c r="C6" s="16" t="s">
        <v>93</v>
      </c>
      <c r="D6" s="16" t="s">
        <v>93</v>
      </c>
      <c r="E6" s="16" t="s">
        <v>94</v>
      </c>
      <c r="F6" s="16" t="s">
        <v>0</v>
      </c>
      <c r="G6" t="s">
        <v>95</v>
      </c>
      <c r="H6" s="17" t="s">
        <v>108</v>
      </c>
      <c r="I6" s="17" t="s">
        <v>109</v>
      </c>
      <c r="J6" s="18">
        <v>46050</v>
      </c>
      <c r="K6" s="19">
        <v>10</v>
      </c>
      <c r="L6" s="20">
        <v>50.221499999999999</v>
      </c>
      <c r="M6" s="21">
        <v>1</v>
      </c>
      <c r="N6" s="22">
        <v>502.22</v>
      </c>
      <c r="O6" s="21">
        <v>0.03</v>
      </c>
      <c r="P6" s="22">
        <f t="shared" si="0"/>
        <v>15.066600000000001</v>
      </c>
      <c r="Q6" s="16" t="s">
        <v>101</v>
      </c>
      <c r="S6" s="23" t="s">
        <v>2</v>
      </c>
      <c r="T6" s="24">
        <v>976.49</v>
      </c>
      <c r="U6" s="24">
        <v>29.294699999999999</v>
      </c>
    </row>
    <row r="7" spans="1:21" x14ac:dyDescent="0.25">
      <c r="A7" s="16" t="s">
        <v>92</v>
      </c>
      <c r="B7" s="16" t="s">
        <v>93</v>
      </c>
      <c r="C7" s="16" t="s">
        <v>93</v>
      </c>
      <c r="D7" s="16" t="s">
        <v>93</v>
      </c>
      <c r="E7" s="16" t="s">
        <v>94</v>
      </c>
      <c r="F7" s="16" t="s">
        <v>1</v>
      </c>
      <c r="G7" t="s">
        <v>110</v>
      </c>
      <c r="H7" s="17" t="s">
        <v>111</v>
      </c>
      <c r="I7" s="17" t="s">
        <v>112</v>
      </c>
      <c r="J7" s="18">
        <v>46045</v>
      </c>
      <c r="K7" s="19">
        <v>8</v>
      </c>
      <c r="L7" s="20">
        <v>30.28</v>
      </c>
      <c r="M7" s="21">
        <v>1</v>
      </c>
      <c r="N7" s="22">
        <v>242.24</v>
      </c>
      <c r="O7" s="21">
        <v>0.03</v>
      </c>
      <c r="P7" s="22">
        <f t="shared" si="0"/>
        <v>7.2671999999999999</v>
      </c>
      <c r="Q7" s="16" t="s">
        <v>98</v>
      </c>
      <c r="S7" s="23" t="s">
        <v>57</v>
      </c>
      <c r="T7" s="24">
        <v>215.6</v>
      </c>
      <c r="U7" s="24">
        <v>6.468</v>
      </c>
    </row>
    <row r="8" spans="1:21" x14ac:dyDescent="0.25">
      <c r="A8" s="16" t="s">
        <v>92</v>
      </c>
      <c r="B8" s="16" t="s">
        <v>93</v>
      </c>
      <c r="C8" s="16" t="s">
        <v>93</v>
      </c>
      <c r="D8" s="16" t="s">
        <v>93</v>
      </c>
      <c r="E8" s="16" t="s">
        <v>94</v>
      </c>
      <c r="F8" s="16" t="s">
        <v>1</v>
      </c>
      <c r="G8" t="s">
        <v>110</v>
      </c>
      <c r="H8" s="17" t="s">
        <v>111</v>
      </c>
      <c r="I8" s="17" t="s">
        <v>113</v>
      </c>
      <c r="J8" s="18">
        <v>46052</v>
      </c>
      <c r="K8" s="19">
        <v>8</v>
      </c>
      <c r="L8" s="20">
        <v>30.28</v>
      </c>
      <c r="M8" s="21">
        <v>1</v>
      </c>
      <c r="N8" s="22">
        <v>242.24</v>
      </c>
      <c r="O8" s="21">
        <v>0.03</v>
      </c>
      <c r="P8" s="22">
        <f t="shared" si="0"/>
        <v>7.2671999999999999</v>
      </c>
      <c r="Q8" s="16" t="s">
        <v>98</v>
      </c>
      <c r="S8" s="23" t="s">
        <v>5</v>
      </c>
      <c r="T8" s="24">
        <v>6469.8</v>
      </c>
      <c r="U8" s="24">
        <v>194.09399999999999</v>
      </c>
    </row>
    <row r="9" spans="1:21" x14ac:dyDescent="0.25">
      <c r="A9" s="16" t="s">
        <v>92</v>
      </c>
      <c r="B9" s="16" t="s">
        <v>93</v>
      </c>
      <c r="C9" s="16" t="s">
        <v>93</v>
      </c>
      <c r="D9" s="16" t="s">
        <v>93</v>
      </c>
      <c r="E9" s="16" t="s">
        <v>94</v>
      </c>
      <c r="F9" s="16" t="s">
        <v>1</v>
      </c>
      <c r="G9" t="s">
        <v>110</v>
      </c>
      <c r="H9" s="17" t="s">
        <v>111</v>
      </c>
      <c r="I9" s="17" t="s">
        <v>114</v>
      </c>
      <c r="J9" s="18">
        <v>46052</v>
      </c>
      <c r="K9" s="19">
        <v>4</v>
      </c>
      <c r="L9" s="20">
        <v>30.28</v>
      </c>
      <c r="M9" s="21">
        <v>1</v>
      </c>
      <c r="N9" s="22">
        <v>121.12</v>
      </c>
      <c r="O9" s="21">
        <v>0.03</v>
      </c>
      <c r="P9" s="22">
        <f t="shared" si="0"/>
        <v>3.6335999999999999</v>
      </c>
      <c r="Q9" s="16" t="s">
        <v>98</v>
      </c>
      <c r="S9" s="23" t="s">
        <v>8</v>
      </c>
      <c r="T9" s="24">
        <v>15462</v>
      </c>
      <c r="U9" s="24">
        <v>463.86</v>
      </c>
    </row>
    <row r="10" spans="1:21" x14ac:dyDescent="0.25">
      <c r="A10" s="16" t="s">
        <v>92</v>
      </c>
      <c r="B10" s="16" t="s">
        <v>93</v>
      </c>
      <c r="C10" s="16" t="s">
        <v>93</v>
      </c>
      <c r="D10" s="16" t="s">
        <v>93</v>
      </c>
      <c r="E10" s="16" t="s">
        <v>115</v>
      </c>
      <c r="F10" s="16" t="s">
        <v>1</v>
      </c>
      <c r="G10" t="s">
        <v>110</v>
      </c>
      <c r="H10" s="17" t="s">
        <v>116</v>
      </c>
      <c r="I10" s="17" t="s">
        <v>117</v>
      </c>
      <c r="J10" s="18">
        <v>46035</v>
      </c>
      <c r="K10" s="19">
        <v>1</v>
      </c>
      <c r="L10" s="20">
        <v>128.80000000000001</v>
      </c>
      <c r="M10" s="21">
        <v>1</v>
      </c>
      <c r="N10" s="22">
        <v>-128.80000000000001</v>
      </c>
      <c r="O10" s="21">
        <v>0.05</v>
      </c>
      <c r="P10" s="22">
        <f t="shared" si="0"/>
        <v>-6.4400000000000013</v>
      </c>
      <c r="Q10" s="16" t="s">
        <v>118</v>
      </c>
      <c r="S10" s="23" t="s">
        <v>9</v>
      </c>
      <c r="T10" s="24">
        <v>2740.4</v>
      </c>
      <c r="U10" s="24">
        <v>82.212000000000003</v>
      </c>
    </row>
    <row r="11" spans="1:21" x14ac:dyDescent="0.25">
      <c r="A11" s="16" t="s">
        <v>92</v>
      </c>
      <c r="B11" s="16" t="s">
        <v>93</v>
      </c>
      <c r="C11" s="16" t="s">
        <v>93</v>
      </c>
      <c r="D11" s="16" t="s">
        <v>93</v>
      </c>
      <c r="E11" s="16" t="s">
        <v>115</v>
      </c>
      <c r="F11" s="16" t="s">
        <v>1</v>
      </c>
      <c r="G11" t="s">
        <v>110</v>
      </c>
      <c r="H11" s="17" t="s">
        <v>119</v>
      </c>
      <c r="I11" s="17" t="s">
        <v>120</v>
      </c>
      <c r="J11" s="18">
        <v>46027</v>
      </c>
      <c r="K11" s="19">
        <v>2</v>
      </c>
      <c r="L11" s="20">
        <v>286.64999999999998</v>
      </c>
      <c r="M11" s="21">
        <v>1</v>
      </c>
      <c r="N11" s="22">
        <v>573.29999999999995</v>
      </c>
      <c r="O11" s="21">
        <v>0.05</v>
      </c>
      <c r="P11" s="22">
        <f t="shared" si="0"/>
        <v>28.664999999999999</v>
      </c>
      <c r="Q11" s="16" t="s">
        <v>121</v>
      </c>
      <c r="S11" s="23" t="s">
        <v>10</v>
      </c>
      <c r="T11" s="24">
        <v>7988.35</v>
      </c>
      <c r="U11" s="24">
        <v>239.65049999999997</v>
      </c>
    </row>
    <row r="12" spans="1:21" x14ac:dyDescent="0.25">
      <c r="A12" s="16" t="s">
        <v>92</v>
      </c>
      <c r="B12" s="16" t="s">
        <v>93</v>
      </c>
      <c r="C12" s="16" t="s">
        <v>93</v>
      </c>
      <c r="D12" s="16" t="s">
        <v>93</v>
      </c>
      <c r="E12" s="16" t="s">
        <v>94</v>
      </c>
      <c r="F12" s="16" t="s">
        <v>1</v>
      </c>
      <c r="G12" t="s">
        <v>110</v>
      </c>
      <c r="H12" s="17" t="s">
        <v>122</v>
      </c>
      <c r="I12" s="17" t="s">
        <v>123</v>
      </c>
      <c r="J12" s="18">
        <v>46045</v>
      </c>
      <c r="K12" s="19">
        <v>18</v>
      </c>
      <c r="L12" s="20">
        <v>41.64</v>
      </c>
      <c r="M12" s="21">
        <v>1</v>
      </c>
      <c r="N12" s="22">
        <v>749.52</v>
      </c>
      <c r="O12" s="21">
        <v>0.03</v>
      </c>
      <c r="P12" s="22">
        <f t="shared" si="0"/>
        <v>22.485599999999998</v>
      </c>
      <c r="Q12" s="16" t="s">
        <v>101</v>
      </c>
      <c r="S12" s="23" t="s">
        <v>12</v>
      </c>
      <c r="T12" s="24">
        <v>7346.48</v>
      </c>
      <c r="U12" s="24">
        <v>220.39439999999996</v>
      </c>
    </row>
    <row r="13" spans="1:21" x14ac:dyDescent="0.25">
      <c r="A13" s="16" t="s">
        <v>92</v>
      </c>
      <c r="B13" s="16" t="s">
        <v>93</v>
      </c>
      <c r="C13" s="16" t="s">
        <v>93</v>
      </c>
      <c r="D13" s="16" t="s">
        <v>93</v>
      </c>
      <c r="E13" s="16" t="s">
        <v>94</v>
      </c>
      <c r="F13" s="16" t="s">
        <v>1</v>
      </c>
      <c r="G13" t="s">
        <v>110</v>
      </c>
      <c r="H13" s="17" t="s">
        <v>124</v>
      </c>
      <c r="I13" s="17" t="s">
        <v>125</v>
      </c>
      <c r="J13" s="18">
        <v>46045</v>
      </c>
      <c r="K13" s="19">
        <v>12</v>
      </c>
      <c r="L13" s="20">
        <v>41.64</v>
      </c>
      <c r="M13" s="21">
        <v>1</v>
      </c>
      <c r="N13" s="22">
        <v>499.68</v>
      </c>
      <c r="O13" s="21">
        <v>0.03</v>
      </c>
      <c r="P13" s="22">
        <f t="shared" si="0"/>
        <v>14.990399999999999</v>
      </c>
      <c r="Q13" s="16" t="s">
        <v>101</v>
      </c>
      <c r="S13" s="23" t="s">
        <v>42</v>
      </c>
      <c r="T13" s="24">
        <v>2301.6</v>
      </c>
      <c r="U13" s="24">
        <v>69.048000000000002</v>
      </c>
    </row>
    <row r="14" spans="1:21" x14ac:dyDescent="0.25">
      <c r="A14" s="16" t="s">
        <v>92</v>
      </c>
      <c r="B14" s="16" t="s">
        <v>93</v>
      </c>
      <c r="C14" s="16" t="s">
        <v>93</v>
      </c>
      <c r="D14" s="16" t="s">
        <v>93</v>
      </c>
      <c r="E14" s="16" t="s">
        <v>94</v>
      </c>
      <c r="F14" s="16" t="s">
        <v>1</v>
      </c>
      <c r="G14" t="s">
        <v>110</v>
      </c>
      <c r="H14" s="17" t="s">
        <v>124</v>
      </c>
      <c r="I14" s="17" t="s">
        <v>126</v>
      </c>
      <c r="J14" s="18">
        <v>46038</v>
      </c>
      <c r="K14" s="19">
        <v>8</v>
      </c>
      <c r="L14" s="20">
        <v>41.64</v>
      </c>
      <c r="M14" s="21">
        <v>1</v>
      </c>
      <c r="N14" s="22">
        <v>333.12</v>
      </c>
      <c r="O14" s="21">
        <v>0.03</v>
      </c>
      <c r="P14" s="22">
        <f t="shared" si="0"/>
        <v>9.9935999999999989</v>
      </c>
      <c r="Q14" s="16" t="s">
        <v>101</v>
      </c>
      <c r="S14" s="23" t="s">
        <v>13</v>
      </c>
      <c r="T14" s="24">
        <v>1373.63</v>
      </c>
      <c r="U14" s="24">
        <v>41.2089</v>
      </c>
    </row>
    <row r="15" spans="1:21" x14ac:dyDescent="0.25">
      <c r="A15" s="16" t="s">
        <v>92</v>
      </c>
      <c r="B15" s="16" t="s">
        <v>93</v>
      </c>
      <c r="C15" s="16" t="s">
        <v>93</v>
      </c>
      <c r="D15" s="16" t="s">
        <v>93</v>
      </c>
      <c r="E15" s="16" t="s">
        <v>115</v>
      </c>
      <c r="F15" s="16" t="s">
        <v>1</v>
      </c>
      <c r="G15" t="s">
        <v>110</v>
      </c>
      <c r="H15" s="17" t="s">
        <v>127</v>
      </c>
      <c r="I15" s="17" t="s">
        <v>128</v>
      </c>
      <c r="J15" s="18">
        <v>46031</v>
      </c>
      <c r="K15" s="19">
        <v>126</v>
      </c>
      <c r="L15" s="20">
        <v>5.6821000000000002</v>
      </c>
      <c r="M15" s="21">
        <v>1</v>
      </c>
      <c r="N15" s="22">
        <v>715.94</v>
      </c>
      <c r="O15" s="21">
        <v>0.03</v>
      </c>
      <c r="P15" s="22">
        <f t="shared" si="0"/>
        <v>21.478200000000001</v>
      </c>
      <c r="Q15" s="16" t="s">
        <v>129</v>
      </c>
      <c r="S15" s="23" t="s">
        <v>61</v>
      </c>
      <c r="T15" s="24">
        <v>7564.0320000000002</v>
      </c>
      <c r="U15" s="24">
        <v>226.92096000000001</v>
      </c>
    </row>
    <row r="16" spans="1:21" x14ac:dyDescent="0.25">
      <c r="A16" s="16" t="s">
        <v>92</v>
      </c>
      <c r="B16" s="16" t="s">
        <v>93</v>
      </c>
      <c r="C16" s="16" t="s">
        <v>93</v>
      </c>
      <c r="D16" s="16" t="s">
        <v>93</v>
      </c>
      <c r="E16" s="16" t="s">
        <v>115</v>
      </c>
      <c r="F16" s="16" t="s">
        <v>1</v>
      </c>
      <c r="G16" t="s">
        <v>110</v>
      </c>
      <c r="H16" s="17" t="s">
        <v>130</v>
      </c>
      <c r="I16" s="17" t="s">
        <v>131</v>
      </c>
      <c r="J16" s="18">
        <v>46045</v>
      </c>
      <c r="K16" s="19">
        <v>882</v>
      </c>
      <c r="L16" s="20">
        <v>5.6821000000000002</v>
      </c>
      <c r="M16" s="21">
        <v>1</v>
      </c>
      <c r="N16" s="22">
        <v>5011.6099999999997</v>
      </c>
      <c r="O16" s="21">
        <v>0.03</v>
      </c>
      <c r="P16" s="22">
        <f t="shared" si="0"/>
        <v>150.34829999999999</v>
      </c>
      <c r="Q16" s="16" t="s">
        <v>129</v>
      </c>
      <c r="S16" s="23" t="s">
        <v>71</v>
      </c>
      <c r="T16" s="24">
        <v>3495.6000000000004</v>
      </c>
      <c r="U16" s="24">
        <v>104.86799999999999</v>
      </c>
    </row>
    <row r="17" spans="1:21" x14ac:dyDescent="0.25">
      <c r="A17" s="16" t="s">
        <v>92</v>
      </c>
      <c r="B17" s="16" t="s">
        <v>93</v>
      </c>
      <c r="C17" s="16" t="s">
        <v>93</v>
      </c>
      <c r="D17" s="16" t="s">
        <v>93</v>
      </c>
      <c r="E17" s="16" t="s">
        <v>94</v>
      </c>
      <c r="F17" s="16" t="s">
        <v>1</v>
      </c>
      <c r="G17" t="s">
        <v>110</v>
      </c>
      <c r="H17" s="17" t="s">
        <v>132</v>
      </c>
      <c r="I17" s="17" t="s">
        <v>133</v>
      </c>
      <c r="J17" s="18">
        <v>46052</v>
      </c>
      <c r="K17" s="19">
        <v>12</v>
      </c>
      <c r="L17" s="20">
        <v>41.64</v>
      </c>
      <c r="M17" s="21">
        <v>1</v>
      </c>
      <c r="N17" s="22">
        <v>499.68</v>
      </c>
      <c r="O17" s="21">
        <v>0.03</v>
      </c>
      <c r="P17" s="22">
        <f t="shared" si="0"/>
        <v>14.990399999999999</v>
      </c>
      <c r="Q17" s="16" t="s">
        <v>101</v>
      </c>
      <c r="S17" s="23" t="s">
        <v>45</v>
      </c>
      <c r="T17" s="24">
        <v>1494.2</v>
      </c>
      <c r="U17" s="24">
        <v>44.826000000000001</v>
      </c>
    </row>
    <row r="18" spans="1:21" x14ac:dyDescent="0.25">
      <c r="A18" s="16" t="s">
        <v>92</v>
      </c>
      <c r="B18" s="16" t="s">
        <v>93</v>
      </c>
      <c r="C18" s="16" t="s">
        <v>93</v>
      </c>
      <c r="D18" s="16" t="s">
        <v>93</v>
      </c>
      <c r="E18" s="16" t="s">
        <v>94</v>
      </c>
      <c r="F18" s="16" t="s">
        <v>1</v>
      </c>
      <c r="G18" t="s">
        <v>110</v>
      </c>
      <c r="H18" s="17" t="s">
        <v>134</v>
      </c>
      <c r="I18" s="17" t="s">
        <v>113</v>
      </c>
      <c r="J18" s="18">
        <v>46052</v>
      </c>
      <c r="K18" s="19">
        <v>12</v>
      </c>
      <c r="L18" s="20">
        <v>41.64</v>
      </c>
      <c r="M18" s="21">
        <v>1</v>
      </c>
      <c r="N18" s="22">
        <v>499.68</v>
      </c>
      <c r="O18" s="21">
        <v>0.03</v>
      </c>
      <c r="P18" s="22">
        <f t="shared" si="0"/>
        <v>14.990399999999999</v>
      </c>
      <c r="Q18" s="16" t="s">
        <v>101</v>
      </c>
      <c r="S18" s="23" t="s">
        <v>46</v>
      </c>
      <c r="T18" s="24">
        <v>2110.8000000000002</v>
      </c>
      <c r="U18" s="24">
        <v>63.324000000000005</v>
      </c>
    </row>
    <row r="19" spans="1:21" x14ac:dyDescent="0.25">
      <c r="A19" s="16" t="s">
        <v>92</v>
      </c>
      <c r="B19" s="16" t="s">
        <v>93</v>
      </c>
      <c r="C19" s="16" t="s">
        <v>93</v>
      </c>
      <c r="D19" s="16" t="s">
        <v>93</v>
      </c>
      <c r="E19" s="16" t="s">
        <v>94</v>
      </c>
      <c r="F19" s="16" t="s">
        <v>1</v>
      </c>
      <c r="G19" t="s">
        <v>110</v>
      </c>
      <c r="H19" s="17" t="s">
        <v>132</v>
      </c>
      <c r="I19" s="17" t="s">
        <v>128</v>
      </c>
      <c r="J19" s="18">
        <v>46031</v>
      </c>
      <c r="K19" s="19">
        <v>18</v>
      </c>
      <c r="L19" s="20">
        <v>41.64</v>
      </c>
      <c r="M19" s="21">
        <v>1</v>
      </c>
      <c r="N19" s="22">
        <v>749.52</v>
      </c>
      <c r="O19" s="21">
        <v>0.03</v>
      </c>
      <c r="P19" s="22">
        <f t="shared" si="0"/>
        <v>22.485599999999998</v>
      </c>
      <c r="Q19" s="16" t="s">
        <v>101</v>
      </c>
      <c r="S19" s="23" t="s">
        <v>70</v>
      </c>
      <c r="T19" s="24">
        <v>463.08</v>
      </c>
      <c r="U19" s="24">
        <v>13.892399999999999</v>
      </c>
    </row>
    <row r="20" spans="1:21" x14ac:dyDescent="0.25">
      <c r="A20" s="16" t="s">
        <v>92</v>
      </c>
      <c r="B20" s="16" t="s">
        <v>93</v>
      </c>
      <c r="C20" s="16" t="s">
        <v>93</v>
      </c>
      <c r="D20" s="16" t="s">
        <v>93</v>
      </c>
      <c r="E20" s="16" t="s">
        <v>94</v>
      </c>
      <c r="F20" s="16" t="s">
        <v>1</v>
      </c>
      <c r="G20" t="s">
        <v>110</v>
      </c>
      <c r="H20" s="17" t="s">
        <v>124</v>
      </c>
      <c r="I20" s="17" t="s">
        <v>135</v>
      </c>
      <c r="J20" s="18">
        <v>46038</v>
      </c>
      <c r="K20" s="19">
        <v>8</v>
      </c>
      <c r="L20" s="20">
        <v>41.64</v>
      </c>
      <c r="M20" s="21">
        <v>1</v>
      </c>
      <c r="N20" s="22">
        <v>333.12</v>
      </c>
      <c r="O20" s="21">
        <v>0.03</v>
      </c>
      <c r="P20" s="22">
        <f t="shared" si="0"/>
        <v>9.9935999999999989</v>
      </c>
      <c r="Q20" s="16" t="s">
        <v>101</v>
      </c>
      <c r="S20" s="23" t="s">
        <v>16</v>
      </c>
      <c r="T20" s="24">
        <v>2569.6000000000004</v>
      </c>
      <c r="U20" s="24">
        <v>77.087999999999994</v>
      </c>
    </row>
    <row r="21" spans="1:21" x14ac:dyDescent="0.25">
      <c r="A21" s="16" t="s">
        <v>92</v>
      </c>
      <c r="B21" s="16" t="s">
        <v>93</v>
      </c>
      <c r="C21" s="16" t="s">
        <v>93</v>
      </c>
      <c r="D21" s="16" t="s">
        <v>93</v>
      </c>
      <c r="E21" s="16" t="s">
        <v>94</v>
      </c>
      <c r="F21" s="16" t="s">
        <v>1</v>
      </c>
      <c r="G21" t="s">
        <v>110</v>
      </c>
      <c r="H21" s="17" t="s">
        <v>136</v>
      </c>
      <c r="I21" s="17" t="s">
        <v>137</v>
      </c>
      <c r="J21" s="18">
        <v>46052</v>
      </c>
      <c r="K21" s="19">
        <v>8</v>
      </c>
      <c r="L21" s="20">
        <v>55.35</v>
      </c>
      <c r="M21" s="21">
        <v>1</v>
      </c>
      <c r="N21" s="22">
        <v>442.8</v>
      </c>
      <c r="O21" s="21">
        <v>0.03</v>
      </c>
      <c r="P21" s="22">
        <f t="shared" si="0"/>
        <v>13.284000000000001</v>
      </c>
      <c r="Q21" s="16" t="s">
        <v>101</v>
      </c>
      <c r="S21" s="23" t="s">
        <v>19</v>
      </c>
      <c r="T21" s="24">
        <v>50290.459999999985</v>
      </c>
      <c r="U21" s="24">
        <v>502.90459999999996</v>
      </c>
    </row>
    <row r="22" spans="1:21" x14ac:dyDescent="0.25">
      <c r="A22" s="16" t="s">
        <v>92</v>
      </c>
      <c r="B22" s="16" t="s">
        <v>93</v>
      </c>
      <c r="C22" s="16" t="s">
        <v>93</v>
      </c>
      <c r="D22" s="16" t="s">
        <v>93</v>
      </c>
      <c r="E22" s="16" t="s">
        <v>94</v>
      </c>
      <c r="F22" s="16" t="s">
        <v>1</v>
      </c>
      <c r="G22" t="s">
        <v>110</v>
      </c>
      <c r="H22" s="17" t="s">
        <v>124</v>
      </c>
      <c r="I22" s="17" t="s">
        <v>138</v>
      </c>
      <c r="J22" s="18">
        <v>46045</v>
      </c>
      <c r="K22" s="19">
        <v>8</v>
      </c>
      <c r="L22" s="20">
        <v>41.64</v>
      </c>
      <c r="M22" s="21">
        <v>1</v>
      </c>
      <c r="N22" s="22">
        <v>333.12</v>
      </c>
      <c r="O22" s="21">
        <v>0.03</v>
      </c>
      <c r="P22" s="22">
        <f t="shared" si="0"/>
        <v>9.9935999999999989</v>
      </c>
      <c r="Q22" s="16" t="s">
        <v>101</v>
      </c>
      <c r="S22" s="23" t="s">
        <v>56</v>
      </c>
      <c r="T22" s="24">
        <v>395.58</v>
      </c>
      <c r="U22" s="24">
        <v>11.8674</v>
      </c>
    </row>
    <row r="23" spans="1:21" x14ac:dyDescent="0.25">
      <c r="A23" s="16" t="s">
        <v>92</v>
      </c>
      <c r="B23" s="16" t="s">
        <v>93</v>
      </c>
      <c r="C23" s="16" t="s">
        <v>93</v>
      </c>
      <c r="D23" s="16" t="s">
        <v>93</v>
      </c>
      <c r="E23" s="16" t="s">
        <v>94</v>
      </c>
      <c r="F23" s="16" t="s">
        <v>1</v>
      </c>
      <c r="G23" t="s">
        <v>110</v>
      </c>
      <c r="H23" s="17" t="s">
        <v>139</v>
      </c>
      <c r="I23" s="17" t="s">
        <v>140</v>
      </c>
      <c r="J23" s="18">
        <v>46052</v>
      </c>
      <c r="K23" s="19">
        <v>5</v>
      </c>
      <c r="L23" s="20">
        <v>41.64</v>
      </c>
      <c r="M23" s="21">
        <v>1</v>
      </c>
      <c r="N23" s="22">
        <v>208.2</v>
      </c>
      <c r="O23" s="21">
        <v>0.03</v>
      </c>
      <c r="P23" s="22">
        <f t="shared" si="0"/>
        <v>6.2459999999999996</v>
      </c>
      <c r="Q23" s="16" t="s">
        <v>101</v>
      </c>
      <c r="S23" s="23" t="s">
        <v>72</v>
      </c>
      <c r="T23" s="24">
        <v>35739.94</v>
      </c>
      <c r="U23" s="24">
        <v>1072.1981999999998</v>
      </c>
    </row>
    <row r="24" spans="1:21" x14ac:dyDescent="0.25">
      <c r="A24" s="16" t="s">
        <v>92</v>
      </c>
      <c r="B24" s="16" t="s">
        <v>93</v>
      </c>
      <c r="C24" s="16" t="s">
        <v>93</v>
      </c>
      <c r="D24" s="16" t="s">
        <v>93</v>
      </c>
      <c r="E24" s="16" t="s">
        <v>94</v>
      </c>
      <c r="F24" s="16" t="s">
        <v>1</v>
      </c>
      <c r="G24" t="s">
        <v>110</v>
      </c>
      <c r="H24" s="17" t="s">
        <v>132</v>
      </c>
      <c r="I24" s="17" t="s">
        <v>140</v>
      </c>
      <c r="J24" s="18">
        <v>46052</v>
      </c>
      <c r="K24" s="19">
        <v>18</v>
      </c>
      <c r="L24" s="20">
        <v>41.64</v>
      </c>
      <c r="M24" s="21">
        <v>1</v>
      </c>
      <c r="N24" s="22">
        <v>749.52</v>
      </c>
      <c r="O24" s="21">
        <v>0.03</v>
      </c>
      <c r="P24" s="22">
        <f t="shared" si="0"/>
        <v>22.485599999999998</v>
      </c>
      <c r="Q24" s="16" t="s">
        <v>101</v>
      </c>
      <c r="S24" s="23" t="s">
        <v>141</v>
      </c>
      <c r="T24" s="24">
        <v>9963.630000000001</v>
      </c>
      <c r="U24" s="24">
        <v>298.90889999999996</v>
      </c>
    </row>
    <row r="25" spans="1:21" x14ac:dyDescent="0.25">
      <c r="A25" s="16" t="s">
        <v>92</v>
      </c>
      <c r="B25" s="16" t="s">
        <v>93</v>
      </c>
      <c r="C25" s="16" t="s">
        <v>93</v>
      </c>
      <c r="D25" s="16" t="s">
        <v>93</v>
      </c>
      <c r="E25" s="16" t="s">
        <v>115</v>
      </c>
      <c r="F25" s="16" t="s">
        <v>1</v>
      </c>
      <c r="G25" t="s">
        <v>110</v>
      </c>
      <c r="H25" s="17" t="s">
        <v>119</v>
      </c>
      <c r="I25" s="17" t="s">
        <v>142</v>
      </c>
      <c r="J25" s="18">
        <v>46031</v>
      </c>
      <c r="K25" s="19">
        <v>8</v>
      </c>
      <c r="L25" s="20">
        <v>286.64999999999998</v>
      </c>
      <c r="M25" s="21">
        <v>1</v>
      </c>
      <c r="N25" s="22">
        <v>2293.1999999999998</v>
      </c>
      <c r="O25" s="21">
        <v>0.05</v>
      </c>
      <c r="P25" s="22">
        <f t="shared" si="0"/>
        <v>114.66</v>
      </c>
      <c r="Q25" s="16" t="s">
        <v>121</v>
      </c>
      <c r="S25" s="23" t="s">
        <v>43</v>
      </c>
      <c r="T25" s="24">
        <v>10240.200000000001</v>
      </c>
      <c r="U25" s="24">
        <v>307.20599999999996</v>
      </c>
    </row>
    <row r="26" spans="1:21" x14ac:dyDescent="0.25">
      <c r="A26" s="16" t="s">
        <v>92</v>
      </c>
      <c r="B26" s="16" t="s">
        <v>93</v>
      </c>
      <c r="C26" s="16" t="s">
        <v>93</v>
      </c>
      <c r="D26" s="16" t="s">
        <v>93</v>
      </c>
      <c r="E26" s="16" t="s">
        <v>115</v>
      </c>
      <c r="F26" s="16" t="s">
        <v>1</v>
      </c>
      <c r="G26" t="s">
        <v>110</v>
      </c>
      <c r="H26" s="17" t="s">
        <v>116</v>
      </c>
      <c r="I26" s="17" t="s">
        <v>126</v>
      </c>
      <c r="J26" s="18">
        <v>46038</v>
      </c>
      <c r="K26" s="19">
        <v>10</v>
      </c>
      <c r="L26" s="20">
        <v>133.31</v>
      </c>
      <c r="M26" s="21">
        <v>1</v>
      </c>
      <c r="N26" s="22">
        <v>1333.1</v>
      </c>
      <c r="O26" s="21">
        <v>0.05</v>
      </c>
      <c r="P26" s="22">
        <f t="shared" si="0"/>
        <v>66.655000000000001</v>
      </c>
      <c r="Q26" s="16" t="s">
        <v>121</v>
      </c>
      <c r="S26" s="23" t="s">
        <v>143</v>
      </c>
      <c r="T26" s="24">
        <v>199334.72200000001</v>
      </c>
      <c r="U26" s="24">
        <v>5292.4284600000001</v>
      </c>
    </row>
    <row r="27" spans="1:21" x14ac:dyDescent="0.25">
      <c r="A27" s="16" t="s">
        <v>92</v>
      </c>
      <c r="B27" s="16" t="s">
        <v>93</v>
      </c>
      <c r="C27" s="16" t="s">
        <v>93</v>
      </c>
      <c r="D27" s="16" t="s">
        <v>93</v>
      </c>
      <c r="E27" s="16" t="s">
        <v>115</v>
      </c>
      <c r="F27" s="16" t="s">
        <v>1</v>
      </c>
      <c r="G27" t="s">
        <v>110</v>
      </c>
      <c r="H27" s="17" t="s">
        <v>144</v>
      </c>
      <c r="I27" s="17" t="s">
        <v>114</v>
      </c>
      <c r="J27" s="18">
        <v>46052</v>
      </c>
      <c r="K27" s="19">
        <v>5</v>
      </c>
      <c r="L27" s="20">
        <v>286.64999999999998</v>
      </c>
      <c r="M27" s="21">
        <v>1</v>
      </c>
      <c r="N27" s="22">
        <v>1433.25</v>
      </c>
      <c r="O27" s="21">
        <v>0.05</v>
      </c>
      <c r="P27" s="22">
        <f t="shared" si="0"/>
        <v>71.662500000000009</v>
      </c>
      <c r="Q27" s="16" t="s">
        <v>121</v>
      </c>
    </row>
    <row r="28" spans="1:21" x14ac:dyDescent="0.25">
      <c r="A28" s="16" t="s">
        <v>92</v>
      </c>
      <c r="B28" s="16" t="s">
        <v>93</v>
      </c>
      <c r="C28" s="16" t="s">
        <v>93</v>
      </c>
      <c r="D28" s="16" t="s">
        <v>93</v>
      </c>
      <c r="E28" s="16" t="s">
        <v>115</v>
      </c>
      <c r="F28" s="16" t="s">
        <v>1</v>
      </c>
      <c r="G28" t="s">
        <v>110</v>
      </c>
      <c r="H28" s="17" t="s">
        <v>119</v>
      </c>
      <c r="I28" s="17" t="s">
        <v>128</v>
      </c>
      <c r="J28" s="18">
        <v>46031</v>
      </c>
      <c r="K28" s="19">
        <v>7</v>
      </c>
      <c r="L28" s="20">
        <v>286.64999999999998</v>
      </c>
      <c r="M28" s="21">
        <v>1</v>
      </c>
      <c r="N28" s="22">
        <v>2006.55</v>
      </c>
      <c r="O28" s="21">
        <v>0.05</v>
      </c>
      <c r="P28" s="22">
        <f t="shared" si="0"/>
        <v>100.3275</v>
      </c>
      <c r="Q28" s="16" t="s">
        <v>121</v>
      </c>
    </row>
    <row r="29" spans="1:21" x14ac:dyDescent="0.25">
      <c r="A29" s="16" t="s">
        <v>92</v>
      </c>
      <c r="B29" s="16" t="s">
        <v>93</v>
      </c>
      <c r="C29" s="16" t="s">
        <v>93</v>
      </c>
      <c r="D29" s="16" t="s">
        <v>93</v>
      </c>
      <c r="E29" s="16" t="s">
        <v>115</v>
      </c>
      <c r="F29" s="16" t="s">
        <v>1</v>
      </c>
      <c r="G29" t="s">
        <v>110</v>
      </c>
      <c r="H29" s="17" t="s">
        <v>119</v>
      </c>
      <c r="I29" s="17" t="s">
        <v>133</v>
      </c>
      <c r="J29" s="18">
        <v>46052</v>
      </c>
      <c r="K29" s="19">
        <v>3</v>
      </c>
      <c r="L29" s="20">
        <v>286.64999999999998</v>
      </c>
      <c r="M29" s="21">
        <v>1</v>
      </c>
      <c r="N29" s="22">
        <v>859.95</v>
      </c>
      <c r="O29" s="21">
        <v>0.05</v>
      </c>
      <c r="P29" s="22">
        <f t="shared" si="0"/>
        <v>42.997500000000002</v>
      </c>
      <c r="Q29" s="16" t="s">
        <v>121</v>
      </c>
    </row>
    <row r="30" spans="1:21" x14ac:dyDescent="0.25">
      <c r="A30" s="16" t="s">
        <v>92</v>
      </c>
      <c r="B30" s="16" t="s">
        <v>93</v>
      </c>
      <c r="C30" s="16" t="s">
        <v>93</v>
      </c>
      <c r="D30" s="16" t="s">
        <v>93</v>
      </c>
      <c r="E30" s="16" t="s">
        <v>115</v>
      </c>
      <c r="F30" s="16" t="s">
        <v>1</v>
      </c>
      <c r="G30" t="s">
        <v>110</v>
      </c>
      <c r="H30" s="17" t="s">
        <v>119</v>
      </c>
      <c r="I30" s="17" t="s">
        <v>145</v>
      </c>
      <c r="J30" s="18">
        <v>46052</v>
      </c>
      <c r="K30" s="19">
        <v>7</v>
      </c>
      <c r="L30" s="20">
        <v>286.64999999999998</v>
      </c>
      <c r="M30" s="21">
        <v>1</v>
      </c>
      <c r="N30" s="22">
        <v>2006.55</v>
      </c>
      <c r="O30" s="21">
        <v>0.05</v>
      </c>
      <c r="P30" s="22">
        <f t="shared" si="0"/>
        <v>100.3275</v>
      </c>
      <c r="Q30" s="16" t="s">
        <v>121</v>
      </c>
    </row>
    <row r="31" spans="1:21" x14ac:dyDescent="0.25">
      <c r="A31" s="16" t="s">
        <v>92</v>
      </c>
      <c r="B31" s="16" t="s">
        <v>93</v>
      </c>
      <c r="C31" s="16" t="s">
        <v>93</v>
      </c>
      <c r="D31" s="16" t="s">
        <v>93</v>
      </c>
      <c r="E31" s="16" t="s">
        <v>115</v>
      </c>
      <c r="F31" s="16" t="s">
        <v>1</v>
      </c>
      <c r="G31" t="s">
        <v>110</v>
      </c>
      <c r="H31" s="17" t="s">
        <v>119</v>
      </c>
      <c r="I31" s="17" t="s">
        <v>146</v>
      </c>
      <c r="J31" s="18">
        <v>46052</v>
      </c>
      <c r="K31" s="19">
        <v>7</v>
      </c>
      <c r="L31" s="20">
        <v>286.64999999999998</v>
      </c>
      <c r="M31" s="21">
        <v>1</v>
      </c>
      <c r="N31" s="22">
        <v>2006.55</v>
      </c>
      <c r="O31" s="21">
        <v>0.05</v>
      </c>
      <c r="P31" s="22">
        <f t="shared" si="0"/>
        <v>100.3275</v>
      </c>
      <c r="Q31" s="16" t="s">
        <v>121</v>
      </c>
    </row>
    <row r="32" spans="1:21" x14ac:dyDescent="0.25">
      <c r="A32" s="16" t="s">
        <v>92</v>
      </c>
      <c r="B32" s="16" t="s">
        <v>93</v>
      </c>
      <c r="C32" s="16" t="s">
        <v>93</v>
      </c>
      <c r="D32" s="16" t="s">
        <v>93</v>
      </c>
      <c r="E32" s="16" t="s">
        <v>115</v>
      </c>
      <c r="F32" s="16" t="s">
        <v>1</v>
      </c>
      <c r="G32" t="s">
        <v>110</v>
      </c>
      <c r="H32" s="17" t="s">
        <v>119</v>
      </c>
      <c r="I32" s="17" t="s">
        <v>147</v>
      </c>
      <c r="J32" s="18">
        <v>46045</v>
      </c>
      <c r="K32" s="19">
        <v>3</v>
      </c>
      <c r="L32" s="20">
        <v>286.64999999999998</v>
      </c>
      <c r="M32" s="21">
        <v>1</v>
      </c>
      <c r="N32" s="22">
        <v>859.95</v>
      </c>
      <c r="O32" s="21">
        <v>0.05</v>
      </c>
      <c r="P32" s="22">
        <f t="shared" si="0"/>
        <v>42.997500000000002</v>
      </c>
      <c r="Q32" s="16" t="s">
        <v>121</v>
      </c>
    </row>
    <row r="33" spans="1:17" x14ac:dyDescent="0.25">
      <c r="A33" s="16" t="s">
        <v>92</v>
      </c>
      <c r="B33" s="16" t="s">
        <v>93</v>
      </c>
      <c r="C33" s="16" t="s">
        <v>93</v>
      </c>
      <c r="D33" s="16" t="s">
        <v>93</v>
      </c>
      <c r="E33" s="16" t="s">
        <v>115</v>
      </c>
      <c r="F33" s="16" t="s">
        <v>1</v>
      </c>
      <c r="G33" t="s">
        <v>110</v>
      </c>
      <c r="H33" s="17" t="s">
        <v>116</v>
      </c>
      <c r="I33" s="17" t="s">
        <v>125</v>
      </c>
      <c r="J33" s="18">
        <v>46045</v>
      </c>
      <c r="K33" s="19">
        <v>10</v>
      </c>
      <c r="L33" s="20">
        <v>133.31</v>
      </c>
      <c r="M33" s="21">
        <v>1</v>
      </c>
      <c r="N33" s="22">
        <v>1333.1</v>
      </c>
      <c r="O33" s="21">
        <v>0.05</v>
      </c>
      <c r="P33" s="22">
        <f t="shared" si="0"/>
        <v>66.655000000000001</v>
      </c>
      <c r="Q33" s="16" t="s">
        <v>121</v>
      </c>
    </row>
    <row r="34" spans="1:17" x14ac:dyDescent="0.25">
      <c r="A34" s="16" t="s">
        <v>92</v>
      </c>
      <c r="B34" s="16" t="s">
        <v>93</v>
      </c>
      <c r="C34" s="16" t="s">
        <v>93</v>
      </c>
      <c r="D34" s="16" t="s">
        <v>93</v>
      </c>
      <c r="E34" s="16" t="s">
        <v>115</v>
      </c>
      <c r="F34" s="16" t="s">
        <v>1</v>
      </c>
      <c r="G34" t="s">
        <v>110</v>
      </c>
      <c r="H34" s="17" t="s">
        <v>116</v>
      </c>
      <c r="I34" s="17" t="s">
        <v>148</v>
      </c>
      <c r="J34" s="18">
        <v>46038</v>
      </c>
      <c r="K34" s="19">
        <v>10</v>
      </c>
      <c r="L34" s="20">
        <v>133.31</v>
      </c>
      <c r="M34" s="21">
        <v>1</v>
      </c>
      <c r="N34" s="22">
        <v>1333.1</v>
      </c>
      <c r="O34" s="21">
        <v>0.05</v>
      </c>
      <c r="P34" s="22">
        <f t="shared" si="0"/>
        <v>66.655000000000001</v>
      </c>
      <c r="Q34" s="16" t="s">
        <v>121</v>
      </c>
    </row>
    <row r="35" spans="1:17" x14ac:dyDescent="0.25">
      <c r="A35" s="16" t="s">
        <v>92</v>
      </c>
      <c r="B35" s="16" t="s">
        <v>93</v>
      </c>
      <c r="C35" s="16" t="s">
        <v>93</v>
      </c>
      <c r="D35" s="16" t="s">
        <v>93</v>
      </c>
      <c r="E35" s="16" t="s">
        <v>94</v>
      </c>
      <c r="F35" s="16" t="s">
        <v>2</v>
      </c>
      <c r="G35" t="s">
        <v>149</v>
      </c>
      <c r="H35" s="17" t="s">
        <v>150</v>
      </c>
      <c r="I35" s="17" t="s">
        <v>151</v>
      </c>
      <c r="J35" s="18">
        <v>46027</v>
      </c>
      <c r="K35" s="19">
        <v>6</v>
      </c>
      <c r="L35" s="20">
        <v>41.98</v>
      </c>
      <c r="M35" s="21">
        <v>1</v>
      </c>
      <c r="N35" s="22">
        <v>251.88</v>
      </c>
      <c r="O35" s="21">
        <v>0.03</v>
      </c>
      <c r="P35" s="22">
        <f t="shared" si="0"/>
        <v>7.5564</v>
      </c>
      <c r="Q35" s="16" t="s">
        <v>101</v>
      </c>
    </row>
    <row r="36" spans="1:17" x14ac:dyDescent="0.25">
      <c r="A36" s="16" t="s">
        <v>92</v>
      </c>
      <c r="B36" s="16" t="s">
        <v>93</v>
      </c>
      <c r="C36" s="16" t="s">
        <v>93</v>
      </c>
      <c r="D36" s="16" t="s">
        <v>93</v>
      </c>
      <c r="E36" s="16" t="s">
        <v>94</v>
      </c>
      <c r="F36" s="16" t="s">
        <v>2</v>
      </c>
      <c r="G36" t="s">
        <v>149</v>
      </c>
      <c r="H36" s="17" t="s">
        <v>150</v>
      </c>
      <c r="I36" s="17" t="s">
        <v>152</v>
      </c>
      <c r="J36" s="18">
        <v>46045</v>
      </c>
      <c r="K36" s="19">
        <v>12</v>
      </c>
      <c r="L36" s="20">
        <v>41.98</v>
      </c>
      <c r="M36" s="21">
        <v>1</v>
      </c>
      <c r="N36" s="22">
        <v>503.76</v>
      </c>
      <c r="O36" s="21">
        <v>0.03</v>
      </c>
      <c r="P36" s="22">
        <f t="shared" si="0"/>
        <v>15.1128</v>
      </c>
      <c r="Q36" s="16" t="s">
        <v>101</v>
      </c>
    </row>
    <row r="37" spans="1:17" x14ac:dyDescent="0.25">
      <c r="A37" s="16" t="s">
        <v>92</v>
      </c>
      <c r="B37" s="16" t="s">
        <v>93</v>
      </c>
      <c r="C37" s="16" t="s">
        <v>93</v>
      </c>
      <c r="D37" s="16" t="s">
        <v>93</v>
      </c>
      <c r="E37" s="16" t="s">
        <v>153</v>
      </c>
      <c r="F37" s="16" t="s">
        <v>2</v>
      </c>
      <c r="G37" t="s">
        <v>149</v>
      </c>
      <c r="H37" s="17" t="s">
        <v>154</v>
      </c>
      <c r="I37" s="17" t="s">
        <v>155</v>
      </c>
      <c r="J37" s="18">
        <v>46034</v>
      </c>
      <c r="K37" s="19">
        <v>5</v>
      </c>
      <c r="L37" s="20">
        <v>44.17</v>
      </c>
      <c r="M37" s="21">
        <v>1</v>
      </c>
      <c r="N37" s="22">
        <v>220.85</v>
      </c>
      <c r="O37" s="21">
        <v>0.03</v>
      </c>
      <c r="P37" s="22">
        <f t="shared" si="0"/>
        <v>6.6254999999999997</v>
      </c>
      <c r="Q37" s="16" t="s">
        <v>156</v>
      </c>
    </row>
    <row r="38" spans="1:17" x14ac:dyDescent="0.25">
      <c r="A38" s="16" t="s">
        <v>92</v>
      </c>
      <c r="B38" s="16" t="s">
        <v>93</v>
      </c>
      <c r="C38" s="16" t="s">
        <v>93</v>
      </c>
      <c r="D38" s="16" t="s">
        <v>93</v>
      </c>
      <c r="E38" s="16" t="s">
        <v>153</v>
      </c>
      <c r="F38" s="16" t="s">
        <v>57</v>
      </c>
      <c r="G38" t="s">
        <v>157</v>
      </c>
      <c r="H38" s="17" t="s">
        <v>158</v>
      </c>
      <c r="I38" s="17" t="s">
        <v>159</v>
      </c>
      <c r="J38" s="18">
        <v>46034</v>
      </c>
      <c r="K38" s="19">
        <v>5</v>
      </c>
      <c r="L38" s="20">
        <v>43.12</v>
      </c>
      <c r="M38" s="21">
        <v>1</v>
      </c>
      <c r="N38" s="22">
        <v>215.6</v>
      </c>
      <c r="O38" s="21">
        <v>0.03</v>
      </c>
      <c r="P38" s="22">
        <f t="shared" si="0"/>
        <v>6.468</v>
      </c>
      <c r="Q38" s="16" t="s">
        <v>156</v>
      </c>
    </row>
    <row r="39" spans="1:17" x14ac:dyDescent="0.25">
      <c r="A39" s="16" t="s">
        <v>92</v>
      </c>
      <c r="B39" s="16" t="s">
        <v>93</v>
      </c>
      <c r="C39" s="16" t="s">
        <v>93</v>
      </c>
      <c r="D39" s="16" t="s">
        <v>93</v>
      </c>
      <c r="E39" s="16" t="s">
        <v>160</v>
      </c>
      <c r="F39" s="16" t="s">
        <v>5</v>
      </c>
      <c r="G39" t="s">
        <v>161</v>
      </c>
      <c r="H39" s="17" t="s">
        <v>162</v>
      </c>
      <c r="I39" s="17" t="s">
        <v>163</v>
      </c>
      <c r="J39" s="18">
        <v>46031</v>
      </c>
      <c r="K39" s="19">
        <v>20000</v>
      </c>
      <c r="L39" s="20">
        <v>0.1522</v>
      </c>
      <c r="M39" s="21">
        <v>1</v>
      </c>
      <c r="N39" s="22">
        <v>3044</v>
      </c>
      <c r="O39" s="21">
        <v>0.03</v>
      </c>
      <c r="P39" s="22">
        <f t="shared" si="0"/>
        <v>91.32</v>
      </c>
      <c r="Q39" s="16" t="s">
        <v>164</v>
      </c>
    </row>
    <row r="40" spans="1:17" x14ac:dyDescent="0.25">
      <c r="A40" s="16" t="s">
        <v>92</v>
      </c>
      <c r="B40" s="16" t="s">
        <v>93</v>
      </c>
      <c r="C40" s="16" t="s">
        <v>93</v>
      </c>
      <c r="D40" s="16" t="s">
        <v>93</v>
      </c>
      <c r="E40" s="16" t="s">
        <v>160</v>
      </c>
      <c r="F40" s="16" t="s">
        <v>5</v>
      </c>
      <c r="G40" t="s">
        <v>161</v>
      </c>
      <c r="H40" s="17" t="s">
        <v>165</v>
      </c>
      <c r="I40" s="17" t="s">
        <v>166</v>
      </c>
      <c r="J40" s="18">
        <v>46051</v>
      </c>
      <c r="K40" s="19">
        <v>5000</v>
      </c>
      <c r="L40" s="20">
        <v>0.51200000000000001</v>
      </c>
      <c r="M40" s="21">
        <v>1</v>
      </c>
      <c r="N40" s="22">
        <v>2560</v>
      </c>
      <c r="O40" s="21">
        <v>0.03</v>
      </c>
      <c r="P40" s="22">
        <f t="shared" si="0"/>
        <v>76.8</v>
      </c>
      <c r="Q40" s="16" t="s">
        <v>164</v>
      </c>
    </row>
    <row r="41" spans="1:17" x14ac:dyDescent="0.25">
      <c r="A41" s="16" t="s">
        <v>92</v>
      </c>
      <c r="B41" s="16" t="s">
        <v>93</v>
      </c>
      <c r="C41" s="16" t="s">
        <v>93</v>
      </c>
      <c r="D41" s="16" t="s">
        <v>93</v>
      </c>
      <c r="E41" s="16" t="s">
        <v>94</v>
      </c>
      <c r="F41" s="16" t="s">
        <v>5</v>
      </c>
      <c r="G41" t="s">
        <v>161</v>
      </c>
      <c r="H41" s="17" t="s">
        <v>167</v>
      </c>
      <c r="I41" s="17" t="s">
        <v>168</v>
      </c>
      <c r="J41" s="18">
        <v>46027</v>
      </c>
      <c r="K41" s="19">
        <v>20</v>
      </c>
      <c r="L41" s="20">
        <v>43.29</v>
      </c>
      <c r="M41" s="21">
        <v>1</v>
      </c>
      <c r="N41" s="22">
        <v>865.8</v>
      </c>
      <c r="O41" s="21">
        <v>0.03</v>
      </c>
      <c r="P41" s="22">
        <f t="shared" si="0"/>
        <v>25.973999999999997</v>
      </c>
      <c r="Q41" s="16" t="s">
        <v>98</v>
      </c>
    </row>
    <row r="42" spans="1:17" x14ac:dyDescent="0.25">
      <c r="A42" s="16" t="s">
        <v>92</v>
      </c>
      <c r="B42" s="16" t="s">
        <v>93</v>
      </c>
      <c r="C42" s="16" t="s">
        <v>93</v>
      </c>
      <c r="D42" s="16" t="s">
        <v>93</v>
      </c>
      <c r="E42" s="16" t="s">
        <v>94</v>
      </c>
      <c r="F42" s="16" t="s">
        <v>8</v>
      </c>
      <c r="G42" t="s">
        <v>169</v>
      </c>
      <c r="H42" s="17" t="s">
        <v>170</v>
      </c>
      <c r="I42" s="17" t="s">
        <v>171</v>
      </c>
      <c r="J42" s="18">
        <v>46029</v>
      </c>
      <c r="K42" s="19">
        <v>24</v>
      </c>
      <c r="L42" s="20">
        <v>39.119999999999997</v>
      </c>
      <c r="M42" s="21">
        <v>1</v>
      </c>
      <c r="N42" s="22">
        <v>938.88</v>
      </c>
      <c r="O42" s="21">
        <v>0.03</v>
      </c>
      <c r="P42" s="22">
        <f t="shared" si="0"/>
        <v>28.166399999999999</v>
      </c>
      <c r="Q42" s="16" t="s">
        <v>101</v>
      </c>
    </row>
    <row r="43" spans="1:17" x14ac:dyDescent="0.25">
      <c r="A43" s="16" t="s">
        <v>92</v>
      </c>
      <c r="B43" s="16" t="s">
        <v>93</v>
      </c>
      <c r="C43" s="16" t="s">
        <v>93</v>
      </c>
      <c r="D43" s="16" t="s">
        <v>93</v>
      </c>
      <c r="E43" s="16" t="s">
        <v>94</v>
      </c>
      <c r="F43" s="16" t="s">
        <v>8</v>
      </c>
      <c r="G43" t="s">
        <v>169</v>
      </c>
      <c r="H43" s="17" t="s">
        <v>170</v>
      </c>
      <c r="I43" s="17" t="s">
        <v>172</v>
      </c>
      <c r="J43" s="18">
        <v>46035</v>
      </c>
      <c r="K43" s="19">
        <v>48</v>
      </c>
      <c r="L43" s="20">
        <v>39.119999999999997</v>
      </c>
      <c r="M43" s="21">
        <v>1</v>
      </c>
      <c r="N43" s="22">
        <v>1877.76</v>
      </c>
      <c r="O43" s="21">
        <v>0.03</v>
      </c>
      <c r="P43" s="22">
        <f t="shared" si="0"/>
        <v>56.332799999999999</v>
      </c>
      <c r="Q43" s="16" t="s">
        <v>101</v>
      </c>
    </row>
    <row r="44" spans="1:17" x14ac:dyDescent="0.25">
      <c r="A44" s="16" t="s">
        <v>92</v>
      </c>
      <c r="B44" s="16" t="s">
        <v>93</v>
      </c>
      <c r="C44" s="16" t="s">
        <v>93</v>
      </c>
      <c r="D44" s="16" t="s">
        <v>93</v>
      </c>
      <c r="E44" s="16" t="s">
        <v>94</v>
      </c>
      <c r="F44" s="16" t="s">
        <v>8</v>
      </c>
      <c r="G44" t="s">
        <v>169</v>
      </c>
      <c r="H44" s="17" t="s">
        <v>173</v>
      </c>
      <c r="I44" s="17" t="s">
        <v>172</v>
      </c>
      <c r="J44" s="18">
        <v>46035</v>
      </c>
      <c r="K44" s="19">
        <v>40</v>
      </c>
      <c r="L44" s="20">
        <v>43.3</v>
      </c>
      <c r="M44" s="21">
        <v>1</v>
      </c>
      <c r="N44" s="22">
        <v>1732</v>
      </c>
      <c r="O44" s="21">
        <v>0.03</v>
      </c>
      <c r="P44" s="22">
        <f t="shared" si="0"/>
        <v>51.96</v>
      </c>
      <c r="Q44" s="16" t="s">
        <v>101</v>
      </c>
    </row>
    <row r="45" spans="1:17" x14ac:dyDescent="0.25">
      <c r="A45" s="16" t="s">
        <v>92</v>
      </c>
      <c r="B45" s="16" t="s">
        <v>93</v>
      </c>
      <c r="C45" s="16" t="s">
        <v>93</v>
      </c>
      <c r="D45" s="16" t="s">
        <v>93</v>
      </c>
      <c r="E45" s="16" t="s">
        <v>94</v>
      </c>
      <c r="F45" s="16" t="s">
        <v>8</v>
      </c>
      <c r="G45" t="s">
        <v>169</v>
      </c>
      <c r="H45" s="17" t="s">
        <v>174</v>
      </c>
      <c r="I45" s="17" t="s">
        <v>172</v>
      </c>
      <c r="J45" s="18">
        <v>46035</v>
      </c>
      <c r="K45" s="19">
        <v>48</v>
      </c>
      <c r="L45" s="20">
        <v>45.13</v>
      </c>
      <c r="M45" s="21">
        <v>1</v>
      </c>
      <c r="N45" s="22">
        <v>2166.2399999999998</v>
      </c>
      <c r="O45" s="21">
        <v>0.03</v>
      </c>
      <c r="P45" s="22">
        <f t="shared" si="0"/>
        <v>64.987199999999987</v>
      </c>
      <c r="Q45" s="16" t="s">
        <v>101</v>
      </c>
    </row>
    <row r="46" spans="1:17" x14ac:dyDescent="0.25">
      <c r="A46" s="16" t="s">
        <v>92</v>
      </c>
      <c r="B46" s="16" t="s">
        <v>93</v>
      </c>
      <c r="C46" s="16" t="s">
        <v>93</v>
      </c>
      <c r="D46" s="16" t="s">
        <v>93</v>
      </c>
      <c r="E46" s="16" t="s">
        <v>94</v>
      </c>
      <c r="F46" s="16" t="s">
        <v>8</v>
      </c>
      <c r="G46" t="s">
        <v>169</v>
      </c>
      <c r="H46" s="17" t="s">
        <v>170</v>
      </c>
      <c r="I46" s="17" t="s">
        <v>175</v>
      </c>
      <c r="J46" s="18">
        <v>46035</v>
      </c>
      <c r="K46" s="19">
        <v>48</v>
      </c>
      <c r="L46" s="20">
        <v>39.119999999999997</v>
      </c>
      <c r="M46" s="21">
        <v>1</v>
      </c>
      <c r="N46" s="22">
        <v>1877.76</v>
      </c>
      <c r="O46" s="21">
        <v>0.03</v>
      </c>
      <c r="P46" s="22">
        <f t="shared" si="0"/>
        <v>56.332799999999999</v>
      </c>
      <c r="Q46" s="16" t="s">
        <v>101</v>
      </c>
    </row>
    <row r="47" spans="1:17" x14ac:dyDescent="0.25">
      <c r="A47" s="16" t="s">
        <v>92</v>
      </c>
      <c r="B47" s="16" t="s">
        <v>93</v>
      </c>
      <c r="C47" s="16" t="s">
        <v>93</v>
      </c>
      <c r="D47" s="16" t="s">
        <v>93</v>
      </c>
      <c r="E47" s="16" t="s">
        <v>94</v>
      </c>
      <c r="F47" s="16" t="s">
        <v>8</v>
      </c>
      <c r="G47" t="s">
        <v>169</v>
      </c>
      <c r="H47" s="17" t="s">
        <v>176</v>
      </c>
      <c r="I47" s="17" t="s">
        <v>177</v>
      </c>
      <c r="J47" s="18">
        <v>46035</v>
      </c>
      <c r="K47" s="19">
        <v>15</v>
      </c>
      <c r="L47" s="20">
        <v>43.3</v>
      </c>
      <c r="M47" s="21">
        <v>1</v>
      </c>
      <c r="N47" s="22">
        <v>649.5</v>
      </c>
      <c r="O47" s="21">
        <v>0.03</v>
      </c>
      <c r="P47" s="22">
        <f t="shared" si="0"/>
        <v>19.484999999999999</v>
      </c>
      <c r="Q47" s="16" t="s">
        <v>101</v>
      </c>
    </row>
    <row r="48" spans="1:17" x14ac:dyDescent="0.25">
      <c r="A48" s="16" t="s">
        <v>92</v>
      </c>
      <c r="B48" s="16" t="s">
        <v>93</v>
      </c>
      <c r="C48" s="16" t="s">
        <v>93</v>
      </c>
      <c r="D48" s="16" t="s">
        <v>93</v>
      </c>
      <c r="E48" s="16" t="s">
        <v>94</v>
      </c>
      <c r="F48" s="16" t="s">
        <v>8</v>
      </c>
      <c r="G48" t="s">
        <v>169</v>
      </c>
      <c r="H48" s="17" t="s">
        <v>176</v>
      </c>
      <c r="I48" s="17" t="s">
        <v>178</v>
      </c>
      <c r="J48" s="18">
        <v>46038</v>
      </c>
      <c r="K48" s="19">
        <v>25</v>
      </c>
      <c r="L48" s="20">
        <v>43.3</v>
      </c>
      <c r="M48" s="21">
        <v>1</v>
      </c>
      <c r="N48" s="22">
        <v>1082.5</v>
      </c>
      <c r="O48" s="21">
        <v>0.03</v>
      </c>
      <c r="P48" s="22">
        <f t="shared" si="0"/>
        <v>32.475000000000001</v>
      </c>
      <c r="Q48" s="16" t="s">
        <v>101</v>
      </c>
    </row>
    <row r="49" spans="1:17" x14ac:dyDescent="0.25">
      <c r="A49" s="16" t="s">
        <v>92</v>
      </c>
      <c r="B49" s="16" t="s">
        <v>93</v>
      </c>
      <c r="C49" s="16" t="s">
        <v>93</v>
      </c>
      <c r="D49" s="16" t="s">
        <v>93</v>
      </c>
      <c r="E49" s="16" t="s">
        <v>94</v>
      </c>
      <c r="F49" s="16" t="s">
        <v>8</v>
      </c>
      <c r="G49" t="s">
        <v>169</v>
      </c>
      <c r="H49" s="17" t="s">
        <v>176</v>
      </c>
      <c r="I49" s="17" t="s">
        <v>179</v>
      </c>
      <c r="J49" s="18">
        <v>46038</v>
      </c>
      <c r="K49" s="19">
        <v>40</v>
      </c>
      <c r="L49" s="20">
        <v>43.3</v>
      </c>
      <c r="M49" s="21">
        <v>1</v>
      </c>
      <c r="N49" s="22">
        <v>1732</v>
      </c>
      <c r="O49" s="21">
        <v>0.03</v>
      </c>
      <c r="P49" s="22">
        <f t="shared" si="0"/>
        <v>51.96</v>
      </c>
      <c r="Q49" s="16" t="s">
        <v>101</v>
      </c>
    </row>
    <row r="50" spans="1:17" x14ac:dyDescent="0.25">
      <c r="A50" s="16" t="s">
        <v>92</v>
      </c>
      <c r="B50" s="16" t="s">
        <v>93</v>
      </c>
      <c r="C50" s="16" t="s">
        <v>93</v>
      </c>
      <c r="D50" s="16" t="s">
        <v>93</v>
      </c>
      <c r="E50" s="16" t="s">
        <v>115</v>
      </c>
      <c r="F50" s="16" t="s">
        <v>8</v>
      </c>
      <c r="G50" t="s">
        <v>169</v>
      </c>
      <c r="H50" s="17" t="s">
        <v>180</v>
      </c>
      <c r="I50" s="17" t="s">
        <v>181</v>
      </c>
      <c r="J50" s="18">
        <v>46028</v>
      </c>
      <c r="K50" s="19">
        <v>12</v>
      </c>
      <c r="L50" s="20">
        <v>283.77999999999997</v>
      </c>
      <c r="M50" s="21">
        <v>1</v>
      </c>
      <c r="N50" s="22">
        <v>3405.36</v>
      </c>
      <c r="O50" s="21">
        <v>0.03</v>
      </c>
      <c r="P50" s="22">
        <f t="shared" si="0"/>
        <v>102.16079999999999</v>
      </c>
      <c r="Q50" s="16" t="s">
        <v>182</v>
      </c>
    </row>
    <row r="51" spans="1:17" x14ac:dyDescent="0.25">
      <c r="A51" s="16" t="s">
        <v>92</v>
      </c>
      <c r="B51" s="16" t="s">
        <v>93</v>
      </c>
      <c r="C51" s="16" t="s">
        <v>93</v>
      </c>
      <c r="D51" s="16" t="s">
        <v>93</v>
      </c>
      <c r="E51" s="16" t="s">
        <v>94</v>
      </c>
      <c r="F51" s="16" t="s">
        <v>9</v>
      </c>
      <c r="G51" t="s">
        <v>183</v>
      </c>
      <c r="H51" s="17" t="s">
        <v>184</v>
      </c>
      <c r="I51" s="17" t="s">
        <v>185</v>
      </c>
      <c r="J51" s="18">
        <v>46036</v>
      </c>
      <c r="K51" s="19">
        <v>40</v>
      </c>
      <c r="L51" s="20">
        <v>40.299999999999997</v>
      </c>
      <c r="M51" s="21">
        <v>1</v>
      </c>
      <c r="N51" s="22">
        <v>1612</v>
      </c>
      <c r="O51" s="21">
        <v>0.03</v>
      </c>
      <c r="P51" s="22">
        <f t="shared" si="0"/>
        <v>48.36</v>
      </c>
      <c r="Q51" s="16" t="s">
        <v>101</v>
      </c>
    </row>
    <row r="52" spans="1:17" x14ac:dyDescent="0.25">
      <c r="A52" s="16" t="s">
        <v>92</v>
      </c>
      <c r="B52" s="16" t="s">
        <v>93</v>
      </c>
      <c r="C52" s="16" t="s">
        <v>93</v>
      </c>
      <c r="D52" s="16" t="s">
        <v>93</v>
      </c>
      <c r="E52" s="16" t="s">
        <v>94</v>
      </c>
      <c r="F52" s="16" t="s">
        <v>9</v>
      </c>
      <c r="G52" t="s">
        <v>183</v>
      </c>
      <c r="H52" s="17" t="s">
        <v>186</v>
      </c>
      <c r="I52" s="17" t="s">
        <v>187</v>
      </c>
      <c r="J52" s="18">
        <v>46027</v>
      </c>
      <c r="K52" s="19">
        <v>28</v>
      </c>
      <c r="L52" s="20">
        <v>40.299999999999997</v>
      </c>
      <c r="M52" s="21">
        <v>1</v>
      </c>
      <c r="N52" s="22">
        <v>1128.4000000000001</v>
      </c>
      <c r="O52" s="21">
        <v>0.03</v>
      </c>
      <c r="P52" s="22">
        <f t="shared" si="0"/>
        <v>33.852000000000004</v>
      </c>
      <c r="Q52" s="16" t="s">
        <v>101</v>
      </c>
    </row>
    <row r="53" spans="1:17" x14ac:dyDescent="0.25">
      <c r="A53" s="16" t="s">
        <v>92</v>
      </c>
      <c r="B53" s="16" t="s">
        <v>93</v>
      </c>
      <c r="C53" s="16" t="s">
        <v>93</v>
      </c>
      <c r="D53" s="16" t="s">
        <v>93</v>
      </c>
      <c r="E53" s="16" t="s">
        <v>94</v>
      </c>
      <c r="F53" s="16" t="s">
        <v>10</v>
      </c>
      <c r="G53" t="s">
        <v>188</v>
      </c>
      <c r="H53" s="17" t="s">
        <v>154</v>
      </c>
      <c r="I53" s="17" t="s">
        <v>189</v>
      </c>
      <c r="J53" s="18">
        <v>46050</v>
      </c>
      <c r="K53" s="19">
        <v>60</v>
      </c>
      <c r="L53" s="20">
        <v>40.549999999999997</v>
      </c>
      <c r="M53" s="21">
        <v>1</v>
      </c>
      <c r="N53" s="22">
        <v>2433</v>
      </c>
      <c r="O53" s="21">
        <v>0.03</v>
      </c>
      <c r="P53" s="22">
        <f t="shared" si="0"/>
        <v>72.989999999999995</v>
      </c>
      <c r="Q53" s="16" t="s">
        <v>101</v>
      </c>
    </row>
    <row r="54" spans="1:17" x14ac:dyDescent="0.25">
      <c r="A54" s="16" t="s">
        <v>92</v>
      </c>
      <c r="B54" s="16" t="s">
        <v>93</v>
      </c>
      <c r="C54" s="16" t="s">
        <v>93</v>
      </c>
      <c r="D54" s="16" t="s">
        <v>93</v>
      </c>
      <c r="E54" s="16" t="s">
        <v>94</v>
      </c>
      <c r="F54" s="16" t="s">
        <v>10</v>
      </c>
      <c r="G54" t="s">
        <v>188</v>
      </c>
      <c r="H54" s="17" t="s">
        <v>154</v>
      </c>
      <c r="I54" s="17" t="s">
        <v>190</v>
      </c>
      <c r="J54" s="18">
        <v>46027</v>
      </c>
      <c r="K54" s="19">
        <v>70</v>
      </c>
      <c r="L54" s="20">
        <v>40.549999999999997</v>
      </c>
      <c r="M54" s="21">
        <v>1</v>
      </c>
      <c r="N54" s="22">
        <v>2838.5</v>
      </c>
      <c r="O54" s="21">
        <v>0.03</v>
      </c>
      <c r="P54" s="22">
        <f t="shared" si="0"/>
        <v>85.155000000000001</v>
      </c>
      <c r="Q54" s="16" t="s">
        <v>101</v>
      </c>
    </row>
    <row r="55" spans="1:17" x14ac:dyDescent="0.25">
      <c r="A55" s="16" t="s">
        <v>92</v>
      </c>
      <c r="B55" s="16" t="s">
        <v>93</v>
      </c>
      <c r="C55" s="16" t="s">
        <v>93</v>
      </c>
      <c r="D55" s="16" t="s">
        <v>93</v>
      </c>
      <c r="E55" s="16" t="s">
        <v>94</v>
      </c>
      <c r="F55" s="16" t="s">
        <v>10</v>
      </c>
      <c r="G55" t="s">
        <v>188</v>
      </c>
      <c r="H55" s="17" t="s">
        <v>191</v>
      </c>
      <c r="I55" s="17" t="s">
        <v>190</v>
      </c>
      <c r="J55" s="18">
        <v>46027</v>
      </c>
      <c r="K55" s="19">
        <v>20</v>
      </c>
      <c r="L55" s="20">
        <v>40.549999999999997</v>
      </c>
      <c r="M55" s="21">
        <v>1</v>
      </c>
      <c r="N55" s="22">
        <v>811</v>
      </c>
      <c r="O55" s="21">
        <v>0.03</v>
      </c>
      <c r="P55" s="22">
        <f t="shared" si="0"/>
        <v>24.33</v>
      </c>
      <c r="Q55" s="16" t="s">
        <v>101</v>
      </c>
    </row>
    <row r="56" spans="1:17" x14ac:dyDescent="0.25">
      <c r="A56" s="16" t="s">
        <v>92</v>
      </c>
      <c r="B56" s="16" t="s">
        <v>93</v>
      </c>
      <c r="C56" s="16" t="s">
        <v>93</v>
      </c>
      <c r="D56" s="16" t="s">
        <v>93</v>
      </c>
      <c r="E56" s="16" t="s">
        <v>94</v>
      </c>
      <c r="F56" s="16" t="s">
        <v>10</v>
      </c>
      <c r="G56" t="s">
        <v>188</v>
      </c>
      <c r="H56" s="17" t="s">
        <v>192</v>
      </c>
      <c r="I56" s="17" t="s">
        <v>190</v>
      </c>
      <c r="J56" s="18">
        <v>46027</v>
      </c>
      <c r="K56" s="19">
        <v>32</v>
      </c>
      <c r="L56" s="20">
        <v>40.549999999999997</v>
      </c>
      <c r="M56" s="21">
        <v>1</v>
      </c>
      <c r="N56" s="22">
        <v>1297.5999999999999</v>
      </c>
      <c r="O56" s="21">
        <v>0.03</v>
      </c>
      <c r="P56" s="22">
        <f t="shared" si="0"/>
        <v>38.927999999999997</v>
      </c>
      <c r="Q56" s="16" t="s">
        <v>101</v>
      </c>
    </row>
    <row r="57" spans="1:17" x14ac:dyDescent="0.25">
      <c r="A57" s="16" t="s">
        <v>92</v>
      </c>
      <c r="B57" s="16" t="s">
        <v>93</v>
      </c>
      <c r="C57" s="16" t="s">
        <v>93</v>
      </c>
      <c r="D57" s="16" t="s">
        <v>93</v>
      </c>
      <c r="E57" s="16" t="s">
        <v>94</v>
      </c>
      <c r="F57" s="16" t="s">
        <v>10</v>
      </c>
      <c r="G57" t="s">
        <v>188</v>
      </c>
      <c r="H57" s="17" t="s">
        <v>193</v>
      </c>
      <c r="I57" s="17" t="s">
        <v>194</v>
      </c>
      <c r="J57" s="18">
        <v>46030</v>
      </c>
      <c r="K57" s="19">
        <v>15</v>
      </c>
      <c r="L57" s="20">
        <v>40.549999999999997</v>
      </c>
      <c r="M57" s="21">
        <v>1</v>
      </c>
      <c r="N57" s="22">
        <v>608.25</v>
      </c>
      <c r="O57" s="21">
        <v>0.03</v>
      </c>
      <c r="P57" s="22">
        <f t="shared" si="0"/>
        <v>18.247499999999999</v>
      </c>
      <c r="Q57" s="16" t="s">
        <v>101</v>
      </c>
    </row>
    <row r="58" spans="1:17" x14ac:dyDescent="0.25">
      <c r="A58" s="16" t="s">
        <v>92</v>
      </c>
      <c r="B58" s="16" t="s">
        <v>93</v>
      </c>
      <c r="C58" s="16" t="s">
        <v>93</v>
      </c>
      <c r="D58" s="16" t="s">
        <v>93</v>
      </c>
      <c r="E58" s="16" t="s">
        <v>94</v>
      </c>
      <c r="F58" s="16" t="s">
        <v>12</v>
      </c>
      <c r="G58" t="s">
        <v>195</v>
      </c>
      <c r="H58" s="17" t="s">
        <v>196</v>
      </c>
      <c r="I58" s="17" t="s">
        <v>197</v>
      </c>
      <c r="J58" s="18">
        <v>46043</v>
      </c>
      <c r="K58" s="19">
        <v>50</v>
      </c>
      <c r="L58" s="20">
        <v>47.55</v>
      </c>
      <c r="M58" s="21">
        <v>1</v>
      </c>
      <c r="N58" s="22">
        <v>2377.5</v>
      </c>
      <c r="O58" s="21">
        <v>0.03</v>
      </c>
      <c r="P58" s="22">
        <f t="shared" si="0"/>
        <v>71.325000000000003</v>
      </c>
      <c r="Q58" s="16" t="s">
        <v>101</v>
      </c>
    </row>
    <row r="59" spans="1:17" x14ac:dyDescent="0.25">
      <c r="A59" s="16" t="s">
        <v>92</v>
      </c>
      <c r="B59" s="16" t="s">
        <v>93</v>
      </c>
      <c r="C59" s="16" t="s">
        <v>93</v>
      </c>
      <c r="D59" s="16" t="s">
        <v>93</v>
      </c>
      <c r="E59" s="16" t="s">
        <v>94</v>
      </c>
      <c r="F59" s="16" t="s">
        <v>12</v>
      </c>
      <c r="G59" t="s">
        <v>195</v>
      </c>
      <c r="H59" s="17" t="s">
        <v>196</v>
      </c>
      <c r="I59" s="17" t="s">
        <v>198</v>
      </c>
      <c r="J59" s="18">
        <v>46041</v>
      </c>
      <c r="K59" s="19">
        <v>110</v>
      </c>
      <c r="L59" s="20">
        <v>45.17</v>
      </c>
      <c r="M59" s="21">
        <v>1</v>
      </c>
      <c r="N59" s="22">
        <v>4968.9799999999996</v>
      </c>
      <c r="O59" s="21">
        <v>0.03</v>
      </c>
      <c r="P59" s="22">
        <f t="shared" si="0"/>
        <v>149.06939999999997</v>
      </c>
      <c r="Q59" s="16" t="s">
        <v>101</v>
      </c>
    </row>
    <row r="60" spans="1:17" x14ac:dyDescent="0.25">
      <c r="A60" s="16" t="s">
        <v>92</v>
      </c>
      <c r="B60" s="16" t="s">
        <v>93</v>
      </c>
      <c r="C60" s="16" t="s">
        <v>93</v>
      </c>
      <c r="D60" s="16" t="s">
        <v>93</v>
      </c>
      <c r="E60" s="16" t="s">
        <v>160</v>
      </c>
      <c r="F60" s="16" t="s">
        <v>42</v>
      </c>
      <c r="G60" t="s">
        <v>199</v>
      </c>
      <c r="H60" s="17" t="s">
        <v>200</v>
      </c>
      <c r="I60" s="17" t="s">
        <v>201</v>
      </c>
      <c r="J60" s="18">
        <v>46051</v>
      </c>
      <c r="K60" s="19">
        <v>8000</v>
      </c>
      <c r="L60" s="20">
        <v>0.28770000000000001</v>
      </c>
      <c r="M60" s="21">
        <v>1</v>
      </c>
      <c r="N60" s="22">
        <v>2301.6</v>
      </c>
      <c r="O60" s="21">
        <v>0.03</v>
      </c>
      <c r="P60" s="22">
        <f t="shared" si="0"/>
        <v>69.048000000000002</v>
      </c>
      <c r="Q60" s="16" t="s">
        <v>164</v>
      </c>
    </row>
    <row r="61" spans="1:17" x14ac:dyDescent="0.25">
      <c r="A61" s="16" t="s">
        <v>92</v>
      </c>
      <c r="B61" s="16" t="s">
        <v>93</v>
      </c>
      <c r="C61" s="16" t="s">
        <v>93</v>
      </c>
      <c r="D61" s="16" t="s">
        <v>93</v>
      </c>
      <c r="E61" s="16" t="s">
        <v>202</v>
      </c>
      <c r="F61" s="16" t="s">
        <v>13</v>
      </c>
      <c r="G61" t="s">
        <v>203</v>
      </c>
      <c r="H61" s="17" t="s">
        <v>204</v>
      </c>
      <c r="I61" s="17" t="s">
        <v>205</v>
      </c>
      <c r="J61" s="18">
        <v>46052</v>
      </c>
      <c r="K61" s="19">
        <v>37.5</v>
      </c>
      <c r="L61" s="20">
        <v>36.630000000000003</v>
      </c>
      <c r="M61" s="21">
        <v>1</v>
      </c>
      <c r="N61" s="22">
        <v>1373.63</v>
      </c>
      <c r="O61" s="21">
        <v>0.03</v>
      </c>
      <c r="P61" s="22">
        <f t="shared" si="0"/>
        <v>41.2089</v>
      </c>
      <c r="Q61" s="16" t="s">
        <v>206</v>
      </c>
    </row>
    <row r="62" spans="1:17" x14ac:dyDescent="0.25">
      <c r="A62" s="16" t="s">
        <v>92</v>
      </c>
      <c r="B62" s="16" t="s">
        <v>93</v>
      </c>
      <c r="C62" s="16" t="s">
        <v>93</v>
      </c>
      <c r="D62" s="16" t="s">
        <v>207</v>
      </c>
      <c r="E62" s="16" t="s">
        <v>202</v>
      </c>
      <c r="F62" s="16" t="s">
        <v>61</v>
      </c>
      <c r="G62" t="s">
        <v>208</v>
      </c>
      <c r="H62" s="17" t="s">
        <v>209</v>
      </c>
      <c r="I62" s="17" t="s">
        <v>210</v>
      </c>
      <c r="J62" s="18">
        <v>46037</v>
      </c>
      <c r="K62" s="19">
        <v>480</v>
      </c>
      <c r="L62" s="20">
        <v>23.52</v>
      </c>
      <c r="M62" s="21">
        <v>0.67</v>
      </c>
      <c r="N62" s="22">
        <v>7564.0320000000002</v>
      </c>
      <c r="O62" s="21">
        <v>0.03</v>
      </c>
      <c r="P62" s="22">
        <f t="shared" si="0"/>
        <v>226.92096000000001</v>
      </c>
      <c r="Q62" s="16" t="s">
        <v>206</v>
      </c>
    </row>
    <row r="63" spans="1:17" x14ac:dyDescent="0.25">
      <c r="A63" s="16" t="s">
        <v>92</v>
      </c>
      <c r="B63" s="16" t="s">
        <v>93</v>
      </c>
      <c r="C63" s="16" t="s">
        <v>93</v>
      </c>
      <c r="D63" s="16" t="s">
        <v>93</v>
      </c>
      <c r="E63" s="16" t="s">
        <v>160</v>
      </c>
      <c r="F63" s="16" t="s">
        <v>71</v>
      </c>
      <c r="G63" t="s">
        <v>211</v>
      </c>
      <c r="H63" s="17" t="s">
        <v>212</v>
      </c>
      <c r="I63" s="17" t="s">
        <v>213</v>
      </c>
      <c r="J63" s="18">
        <v>46043</v>
      </c>
      <c r="K63" s="19">
        <v>24000</v>
      </c>
      <c r="L63" s="20">
        <v>9.2600000000000002E-2</v>
      </c>
      <c r="M63" s="21">
        <v>1</v>
      </c>
      <c r="N63" s="22">
        <v>2222.4</v>
      </c>
      <c r="O63" s="21">
        <v>0.03</v>
      </c>
      <c r="P63" s="22">
        <f t="shared" si="0"/>
        <v>66.671999999999997</v>
      </c>
      <c r="Q63" s="16" t="s">
        <v>164</v>
      </c>
    </row>
    <row r="64" spans="1:17" x14ac:dyDescent="0.25">
      <c r="A64" s="16" t="s">
        <v>92</v>
      </c>
      <c r="B64" s="16" t="s">
        <v>93</v>
      </c>
      <c r="C64" s="16" t="s">
        <v>93</v>
      </c>
      <c r="D64" s="16" t="s">
        <v>93</v>
      </c>
      <c r="E64" s="16" t="s">
        <v>94</v>
      </c>
      <c r="F64" s="16" t="s">
        <v>71</v>
      </c>
      <c r="G64" t="s">
        <v>211</v>
      </c>
      <c r="H64" s="17" t="s">
        <v>214</v>
      </c>
      <c r="I64" s="17" t="s">
        <v>215</v>
      </c>
      <c r="J64" s="18">
        <v>46027</v>
      </c>
      <c r="K64" s="19">
        <v>24</v>
      </c>
      <c r="L64" s="20">
        <v>53.05</v>
      </c>
      <c r="M64" s="21">
        <v>1</v>
      </c>
      <c r="N64" s="22">
        <v>1273.2</v>
      </c>
      <c r="O64" s="21">
        <v>0.03</v>
      </c>
      <c r="P64" s="22">
        <f t="shared" si="0"/>
        <v>38.195999999999998</v>
      </c>
      <c r="Q64" s="16" t="s">
        <v>98</v>
      </c>
    </row>
    <row r="65" spans="1:17" x14ac:dyDescent="0.25">
      <c r="A65" s="16" t="s">
        <v>92</v>
      </c>
      <c r="B65" s="16" t="s">
        <v>93</v>
      </c>
      <c r="C65" s="16" t="s">
        <v>93</v>
      </c>
      <c r="D65" s="16" t="s">
        <v>93</v>
      </c>
      <c r="E65" s="16" t="s">
        <v>115</v>
      </c>
      <c r="F65" s="16" t="s">
        <v>45</v>
      </c>
      <c r="G65" t="s">
        <v>216</v>
      </c>
      <c r="H65" s="17" t="s">
        <v>217</v>
      </c>
      <c r="I65" s="17" t="s">
        <v>218</v>
      </c>
      <c r="J65" s="18">
        <v>46041</v>
      </c>
      <c r="K65" s="19">
        <v>2.5</v>
      </c>
      <c r="L65" s="20">
        <v>149.41999999999999</v>
      </c>
      <c r="M65" s="21">
        <v>1</v>
      </c>
      <c r="N65" s="22">
        <v>373.55</v>
      </c>
      <c r="O65" s="21">
        <v>0.03</v>
      </c>
      <c r="P65" s="22">
        <f t="shared" si="0"/>
        <v>11.2065</v>
      </c>
      <c r="Q65" s="16" t="s">
        <v>129</v>
      </c>
    </row>
    <row r="66" spans="1:17" x14ac:dyDescent="0.25">
      <c r="A66" s="16" t="s">
        <v>92</v>
      </c>
      <c r="B66" s="16" t="s">
        <v>93</v>
      </c>
      <c r="C66" s="16" t="s">
        <v>93</v>
      </c>
      <c r="D66" s="16" t="s">
        <v>93</v>
      </c>
      <c r="E66" s="16" t="s">
        <v>115</v>
      </c>
      <c r="F66" s="16" t="s">
        <v>45</v>
      </c>
      <c r="G66" t="s">
        <v>216</v>
      </c>
      <c r="H66" s="17" t="s">
        <v>219</v>
      </c>
      <c r="I66" s="17" t="s">
        <v>218</v>
      </c>
      <c r="J66" s="18">
        <v>46041</v>
      </c>
      <c r="K66" s="19">
        <v>5</v>
      </c>
      <c r="L66" s="20">
        <v>149.41999999999999</v>
      </c>
      <c r="M66" s="21">
        <v>1</v>
      </c>
      <c r="N66" s="22">
        <v>747.1</v>
      </c>
      <c r="O66" s="21">
        <v>0.03</v>
      </c>
      <c r="P66" s="22">
        <f t="shared" ref="P66:P120" si="1">N66 * O66</f>
        <v>22.413</v>
      </c>
      <c r="Q66" s="16" t="s">
        <v>129</v>
      </c>
    </row>
    <row r="67" spans="1:17" x14ac:dyDescent="0.25">
      <c r="A67" s="16" t="s">
        <v>92</v>
      </c>
      <c r="B67" s="16" t="s">
        <v>93</v>
      </c>
      <c r="C67" s="16" t="s">
        <v>93</v>
      </c>
      <c r="D67" s="16" t="s">
        <v>93</v>
      </c>
      <c r="E67" s="16" t="s">
        <v>115</v>
      </c>
      <c r="F67" s="16" t="s">
        <v>45</v>
      </c>
      <c r="G67" t="s">
        <v>216</v>
      </c>
      <c r="H67" s="17" t="s">
        <v>220</v>
      </c>
      <c r="I67" s="17" t="s">
        <v>218</v>
      </c>
      <c r="J67" s="18">
        <v>46041</v>
      </c>
      <c r="K67" s="19">
        <v>2.5</v>
      </c>
      <c r="L67" s="20">
        <v>149.41999999999999</v>
      </c>
      <c r="M67" s="21">
        <v>1</v>
      </c>
      <c r="N67" s="22">
        <v>373.55</v>
      </c>
      <c r="O67" s="21">
        <v>0.03</v>
      </c>
      <c r="P67" s="22">
        <f t="shared" si="1"/>
        <v>11.2065</v>
      </c>
      <c r="Q67" s="16" t="s">
        <v>129</v>
      </c>
    </row>
    <row r="68" spans="1:17" x14ac:dyDescent="0.25">
      <c r="A68" s="16" t="s">
        <v>92</v>
      </c>
      <c r="B68" s="16" t="s">
        <v>93</v>
      </c>
      <c r="C68" s="16" t="s">
        <v>93</v>
      </c>
      <c r="D68" s="16" t="s">
        <v>93</v>
      </c>
      <c r="E68" s="16" t="s">
        <v>94</v>
      </c>
      <c r="F68" s="16" t="s">
        <v>46</v>
      </c>
      <c r="G68" t="s">
        <v>221</v>
      </c>
      <c r="H68" s="17" t="s">
        <v>222</v>
      </c>
      <c r="I68" s="17" t="s">
        <v>223</v>
      </c>
      <c r="J68" s="18">
        <v>46027</v>
      </c>
      <c r="K68" s="19">
        <v>60</v>
      </c>
      <c r="L68" s="20">
        <v>35.18</v>
      </c>
      <c r="M68" s="21">
        <v>1</v>
      </c>
      <c r="N68" s="22">
        <v>2110.8000000000002</v>
      </c>
      <c r="O68" s="21">
        <v>0.03</v>
      </c>
      <c r="P68" s="22">
        <f t="shared" si="1"/>
        <v>63.324000000000005</v>
      </c>
      <c r="Q68" s="16" t="s">
        <v>101</v>
      </c>
    </row>
    <row r="69" spans="1:17" x14ac:dyDescent="0.25">
      <c r="A69" s="16" t="s">
        <v>92</v>
      </c>
      <c r="B69" s="16" t="s">
        <v>93</v>
      </c>
      <c r="C69" s="16" t="s">
        <v>93</v>
      </c>
      <c r="D69" s="16" t="s">
        <v>93</v>
      </c>
      <c r="E69" s="16" t="s">
        <v>153</v>
      </c>
      <c r="F69" s="16" t="s">
        <v>70</v>
      </c>
      <c r="G69" t="s">
        <v>224</v>
      </c>
      <c r="H69" s="17" t="s">
        <v>225</v>
      </c>
      <c r="I69" s="17" t="s">
        <v>226</v>
      </c>
      <c r="J69" s="18">
        <v>46038</v>
      </c>
      <c r="K69" s="19">
        <v>12</v>
      </c>
      <c r="L69" s="20">
        <v>38.590000000000003</v>
      </c>
      <c r="M69" s="21">
        <v>1</v>
      </c>
      <c r="N69" s="22">
        <v>463.08</v>
      </c>
      <c r="O69" s="21">
        <v>0.03</v>
      </c>
      <c r="P69" s="22">
        <f t="shared" si="1"/>
        <v>13.892399999999999</v>
      </c>
      <c r="Q69" s="16" t="s">
        <v>227</v>
      </c>
    </row>
    <row r="70" spans="1:17" x14ac:dyDescent="0.25">
      <c r="A70" s="16" t="s">
        <v>92</v>
      </c>
      <c r="B70" s="16" t="s">
        <v>93</v>
      </c>
      <c r="C70" s="16" t="s">
        <v>93</v>
      </c>
      <c r="D70" s="16" t="s">
        <v>93</v>
      </c>
      <c r="E70" s="16" t="s">
        <v>160</v>
      </c>
      <c r="F70" s="16" t="s">
        <v>16</v>
      </c>
      <c r="G70" t="s">
        <v>228</v>
      </c>
      <c r="H70" s="17" t="s">
        <v>229</v>
      </c>
      <c r="I70" s="17" t="s">
        <v>230</v>
      </c>
      <c r="J70" s="18">
        <v>46050</v>
      </c>
      <c r="K70" s="19">
        <v>3000</v>
      </c>
      <c r="L70" s="20">
        <v>0.53080000000000005</v>
      </c>
      <c r="M70" s="21">
        <v>1</v>
      </c>
      <c r="N70" s="22">
        <v>1592.4</v>
      </c>
      <c r="O70" s="21">
        <v>0.03</v>
      </c>
      <c r="P70" s="22">
        <f t="shared" si="1"/>
        <v>47.771999999999998</v>
      </c>
      <c r="Q70" s="16" t="s">
        <v>231</v>
      </c>
    </row>
    <row r="71" spans="1:17" x14ac:dyDescent="0.25">
      <c r="A71" s="16" t="s">
        <v>92</v>
      </c>
      <c r="B71" s="16" t="s">
        <v>93</v>
      </c>
      <c r="C71" s="16" t="s">
        <v>93</v>
      </c>
      <c r="D71" s="16" t="s">
        <v>93</v>
      </c>
      <c r="E71" s="16" t="s">
        <v>160</v>
      </c>
      <c r="F71" s="16" t="s">
        <v>16</v>
      </c>
      <c r="G71" t="s">
        <v>228</v>
      </c>
      <c r="H71" s="17" t="s">
        <v>232</v>
      </c>
      <c r="I71" s="17" t="s">
        <v>230</v>
      </c>
      <c r="J71" s="18">
        <v>46050</v>
      </c>
      <c r="K71" s="19">
        <v>2000</v>
      </c>
      <c r="L71" s="20">
        <v>0.48859999999999998</v>
      </c>
      <c r="M71" s="21">
        <v>1</v>
      </c>
      <c r="N71" s="22">
        <v>977.2</v>
      </c>
      <c r="O71" s="21">
        <v>0.03</v>
      </c>
      <c r="P71" s="22">
        <f t="shared" si="1"/>
        <v>29.315999999999999</v>
      </c>
      <c r="Q71" s="16" t="s">
        <v>231</v>
      </c>
    </row>
    <row r="72" spans="1:17" x14ac:dyDescent="0.25">
      <c r="A72" s="16" t="s">
        <v>92</v>
      </c>
      <c r="B72" s="16" t="s">
        <v>93</v>
      </c>
      <c r="C72" s="16" t="s">
        <v>93</v>
      </c>
      <c r="D72" s="16" t="s">
        <v>93</v>
      </c>
      <c r="E72" s="16" t="s">
        <v>94</v>
      </c>
      <c r="F72" s="16" t="s">
        <v>19</v>
      </c>
      <c r="G72" t="s">
        <v>233</v>
      </c>
      <c r="H72" s="17" t="s">
        <v>234</v>
      </c>
      <c r="I72" s="17" t="s">
        <v>235</v>
      </c>
      <c r="J72" s="18">
        <v>46038</v>
      </c>
      <c r="K72" s="19">
        <v>90</v>
      </c>
      <c r="L72" s="20">
        <v>26.26</v>
      </c>
      <c r="M72" s="21">
        <v>1</v>
      </c>
      <c r="N72" s="22">
        <v>2363.4</v>
      </c>
      <c r="O72" s="21">
        <v>0.01</v>
      </c>
      <c r="P72" s="22">
        <f t="shared" si="1"/>
        <v>23.634</v>
      </c>
      <c r="Q72" s="16" t="s">
        <v>101</v>
      </c>
    </row>
    <row r="73" spans="1:17" x14ac:dyDescent="0.25">
      <c r="A73" s="16" t="s">
        <v>92</v>
      </c>
      <c r="B73" s="16" t="s">
        <v>93</v>
      </c>
      <c r="C73" s="16" t="s">
        <v>93</v>
      </c>
      <c r="D73" s="16" t="s">
        <v>93</v>
      </c>
      <c r="E73" s="16" t="s">
        <v>94</v>
      </c>
      <c r="F73" s="16" t="s">
        <v>19</v>
      </c>
      <c r="G73" t="s">
        <v>233</v>
      </c>
      <c r="H73" s="17" t="s">
        <v>236</v>
      </c>
      <c r="I73" s="17" t="s">
        <v>237</v>
      </c>
      <c r="J73" s="18">
        <v>46035</v>
      </c>
      <c r="K73" s="19">
        <v>3</v>
      </c>
      <c r="L73" s="20">
        <v>26.62</v>
      </c>
      <c r="M73" s="21">
        <v>1</v>
      </c>
      <c r="N73" s="22">
        <v>-79.86</v>
      </c>
      <c r="O73" s="21">
        <v>0.01</v>
      </c>
      <c r="P73" s="22">
        <f t="shared" si="1"/>
        <v>-0.79859999999999998</v>
      </c>
      <c r="Q73" s="16" t="s">
        <v>238</v>
      </c>
    </row>
    <row r="74" spans="1:17" x14ac:dyDescent="0.25">
      <c r="A74" s="16" t="s">
        <v>92</v>
      </c>
      <c r="B74" s="16" t="s">
        <v>93</v>
      </c>
      <c r="C74" s="16" t="s">
        <v>93</v>
      </c>
      <c r="D74" s="16" t="s">
        <v>93</v>
      </c>
      <c r="E74" s="16" t="s">
        <v>94</v>
      </c>
      <c r="F74" s="16" t="s">
        <v>19</v>
      </c>
      <c r="G74" t="s">
        <v>233</v>
      </c>
      <c r="H74" s="17" t="s">
        <v>236</v>
      </c>
      <c r="I74" s="17" t="s">
        <v>239</v>
      </c>
      <c r="J74" s="18">
        <v>46035</v>
      </c>
      <c r="K74" s="19">
        <v>3</v>
      </c>
      <c r="L74" s="20">
        <v>26.62</v>
      </c>
      <c r="M74" s="21">
        <v>1</v>
      </c>
      <c r="N74" s="22">
        <v>-79.86</v>
      </c>
      <c r="O74" s="21">
        <v>0.01</v>
      </c>
      <c r="P74" s="22">
        <f t="shared" si="1"/>
        <v>-0.79859999999999998</v>
      </c>
      <c r="Q74" s="16" t="s">
        <v>238</v>
      </c>
    </row>
    <row r="75" spans="1:17" x14ac:dyDescent="0.25">
      <c r="A75" s="16" t="s">
        <v>92</v>
      </c>
      <c r="B75" s="16" t="s">
        <v>93</v>
      </c>
      <c r="C75" s="16" t="s">
        <v>93</v>
      </c>
      <c r="D75" s="16" t="s">
        <v>93</v>
      </c>
      <c r="E75" s="16" t="s">
        <v>94</v>
      </c>
      <c r="F75" s="16" t="s">
        <v>19</v>
      </c>
      <c r="G75" t="s">
        <v>233</v>
      </c>
      <c r="H75" s="17" t="s">
        <v>240</v>
      </c>
      <c r="I75" s="17" t="s">
        <v>241</v>
      </c>
      <c r="J75" s="18">
        <v>46051</v>
      </c>
      <c r="K75" s="19">
        <v>4.5</v>
      </c>
      <c r="L75" s="20">
        <v>25.82</v>
      </c>
      <c r="M75" s="21">
        <v>1</v>
      </c>
      <c r="N75" s="22">
        <v>-116.19</v>
      </c>
      <c r="O75" s="21">
        <v>0.01</v>
      </c>
      <c r="P75" s="22">
        <f t="shared" si="1"/>
        <v>-1.1618999999999999</v>
      </c>
      <c r="Q75" s="16" t="s">
        <v>238</v>
      </c>
    </row>
    <row r="76" spans="1:17" x14ac:dyDescent="0.25">
      <c r="A76" s="16" t="s">
        <v>92</v>
      </c>
      <c r="B76" s="16" t="s">
        <v>93</v>
      </c>
      <c r="C76" s="16" t="s">
        <v>93</v>
      </c>
      <c r="D76" s="16" t="s">
        <v>93</v>
      </c>
      <c r="E76" s="16" t="s">
        <v>94</v>
      </c>
      <c r="F76" s="16" t="s">
        <v>19</v>
      </c>
      <c r="G76" t="s">
        <v>233</v>
      </c>
      <c r="H76" s="17" t="s">
        <v>236</v>
      </c>
      <c r="I76" s="17" t="s">
        <v>242</v>
      </c>
      <c r="J76" s="18">
        <v>46045</v>
      </c>
      <c r="K76" s="19">
        <v>360</v>
      </c>
      <c r="L76" s="20">
        <v>27.29</v>
      </c>
      <c r="M76" s="21">
        <v>1</v>
      </c>
      <c r="N76" s="22">
        <v>9824.4</v>
      </c>
      <c r="O76" s="21">
        <v>0.01</v>
      </c>
      <c r="P76" s="22">
        <f t="shared" si="1"/>
        <v>98.244</v>
      </c>
      <c r="Q76" s="16" t="s">
        <v>101</v>
      </c>
    </row>
    <row r="77" spans="1:17" x14ac:dyDescent="0.25">
      <c r="A77" s="16" t="s">
        <v>92</v>
      </c>
      <c r="B77" s="16" t="s">
        <v>93</v>
      </c>
      <c r="C77" s="16" t="s">
        <v>93</v>
      </c>
      <c r="D77" s="16" t="s">
        <v>93</v>
      </c>
      <c r="E77" s="16" t="s">
        <v>94</v>
      </c>
      <c r="F77" s="16" t="s">
        <v>19</v>
      </c>
      <c r="G77" t="s">
        <v>233</v>
      </c>
      <c r="H77" s="17" t="s">
        <v>243</v>
      </c>
      <c r="I77" s="17" t="s">
        <v>242</v>
      </c>
      <c r="J77" s="18">
        <v>46045</v>
      </c>
      <c r="K77" s="19">
        <v>120</v>
      </c>
      <c r="L77" s="20">
        <v>27.29</v>
      </c>
      <c r="M77" s="21">
        <v>1</v>
      </c>
      <c r="N77" s="22">
        <v>3274.8</v>
      </c>
      <c r="O77" s="21">
        <v>0.01</v>
      </c>
      <c r="P77" s="22">
        <f t="shared" si="1"/>
        <v>32.748000000000005</v>
      </c>
      <c r="Q77" s="16" t="s">
        <v>101</v>
      </c>
    </row>
    <row r="78" spans="1:17" x14ac:dyDescent="0.25">
      <c r="A78" s="16" t="s">
        <v>92</v>
      </c>
      <c r="B78" s="16" t="s">
        <v>93</v>
      </c>
      <c r="C78" s="16" t="s">
        <v>93</v>
      </c>
      <c r="D78" s="16" t="s">
        <v>93</v>
      </c>
      <c r="E78" s="16" t="s">
        <v>94</v>
      </c>
      <c r="F78" s="16" t="s">
        <v>19</v>
      </c>
      <c r="G78" t="s">
        <v>233</v>
      </c>
      <c r="H78" s="17" t="s">
        <v>236</v>
      </c>
      <c r="I78" s="17" t="s">
        <v>244</v>
      </c>
      <c r="J78" s="18">
        <v>46034</v>
      </c>
      <c r="K78" s="19">
        <v>180</v>
      </c>
      <c r="L78" s="20">
        <v>27.29</v>
      </c>
      <c r="M78" s="21">
        <v>1</v>
      </c>
      <c r="N78" s="22">
        <v>4912.2</v>
      </c>
      <c r="O78" s="21">
        <v>0.01</v>
      </c>
      <c r="P78" s="22">
        <f t="shared" si="1"/>
        <v>49.122</v>
      </c>
      <c r="Q78" s="16" t="s">
        <v>101</v>
      </c>
    </row>
    <row r="79" spans="1:17" x14ac:dyDescent="0.25">
      <c r="A79" s="16" t="s">
        <v>92</v>
      </c>
      <c r="B79" s="16" t="s">
        <v>93</v>
      </c>
      <c r="C79" s="16" t="s">
        <v>93</v>
      </c>
      <c r="D79" s="16" t="s">
        <v>93</v>
      </c>
      <c r="E79" s="16" t="s">
        <v>94</v>
      </c>
      <c r="F79" s="16" t="s">
        <v>19</v>
      </c>
      <c r="G79" t="s">
        <v>233</v>
      </c>
      <c r="H79" s="17" t="s">
        <v>236</v>
      </c>
      <c r="I79" s="17" t="s">
        <v>245</v>
      </c>
      <c r="J79" s="18">
        <v>46052</v>
      </c>
      <c r="K79" s="19">
        <v>360</v>
      </c>
      <c r="L79" s="20">
        <v>27.29</v>
      </c>
      <c r="M79" s="21">
        <v>1</v>
      </c>
      <c r="N79" s="22">
        <v>9824.4</v>
      </c>
      <c r="O79" s="21">
        <v>0.01</v>
      </c>
      <c r="P79" s="22">
        <f t="shared" si="1"/>
        <v>98.244</v>
      </c>
      <c r="Q79" s="16" t="s">
        <v>101</v>
      </c>
    </row>
    <row r="80" spans="1:17" x14ac:dyDescent="0.25">
      <c r="A80" s="16" t="s">
        <v>92</v>
      </c>
      <c r="B80" s="16" t="s">
        <v>93</v>
      </c>
      <c r="C80" s="16" t="s">
        <v>93</v>
      </c>
      <c r="D80" s="16" t="s">
        <v>93</v>
      </c>
      <c r="E80" s="16" t="s">
        <v>94</v>
      </c>
      <c r="F80" s="16" t="s">
        <v>19</v>
      </c>
      <c r="G80" t="s">
        <v>233</v>
      </c>
      <c r="H80" s="17" t="s">
        <v>240</v>
      </c>
      <c r="I80" s="17" t="s">
        <v>244</v>
      </c>
      <c r="J80" s="18">
        <v>46034</v>
      </c>
      <c r="K80" s="19">
        <v>90</v>
      </c>
      <c r="L80" s="20">
        <v>26.47</v>
      </c>
      <c r="M80" s="21">
        <v>1</v>
      </c>
      <c r="N80" s="22">
        <v>2382.3000000000002</v>
      </c>
      <c r="O80" s="21">
        <v>0.01</v>
      </c>
      <c r="P80" s="22">
        <f t="shared" si="1"/>
        <v>23.823000000000004</v>
      </c>
      <c r="Q80" s="16" t="s">
        <v>101</v>
      </c>
    </row>
    <row r="81" spans="1:17" x14ac:dyDescent="0.25">
      <c r="A81" s="16" t="s">
        <v>92</v>
      </c>
      <c r="B81" s="16" t="s">
        <v>93</v>
      </c>
      <c r="C81" s="16" t="s">
        <v>93</v>
      </c>
      <c r="D81" s="16" t="s">
        <v>93</v>
      </c>
      <c r="E81" s="16" t="s">
        <v>94</v>
      </c>
      <c r="F81" s="16" t="s">
        <v>19</v>
      </c>
      <c r="G81" t="s">
        <v>233</v>
      </c>
      <c r="H81" s="17" t="s">
        <v>234</v>
      </c>
      <c r="I81" s="17" t="s">
        <v>244</v>
      </c>
      <c r="J81" s="18">
        <v>46034</v>
      </c>
      <c r="K81" s="19">
        <v>90</v>
      </c>
      <c r="L81" s="20">
        <v>26.26</v>
      </c>
      <c r="M81" s="21">
        <v>1</v>
      </c>
      <c r="N81" s="22">
        <v>2363.4</v>
      </c>
      <c r="O81" s="21">
        <v>0.01</v>
      </c>
      <c r="P81" s="22">
        <f t="shared" si="1"/>
        <v>23.634</v>
      </c>
      <c r="Q81" s="16" t="s">
        <v>101</v>
      </c>
    </row>
    <row r="82" spans="1:17" x14ac:dyDescent="0.25">
      <c r="A82" s="16" t="s">
        <v>92</v>
      </c>
      <c r="B82" s="16" t="s">
        <v>93</v>
      </c>
      <c r="C82" s="16" t="s">
        <v>93</v>
      </c>
      <c r="D82" s="16" t="s">
        <v>93</v>
      </c>
      <c r="E82" s="16" t="s">
        <v>94</v>
      </c>
      <c r="F82" s="16" t="s">
        <v>19</v>
      </c>
      <c r="G82" t="s">
        <v>233</v>
      </c>
      <c r="H82" s="17" t="s">
        <v>246</v>
      </c>
      <c r="I82" s="17" t="s">
        <v>244</v>
      </c>
      <c r="J82" s="18">
        <v>46034</v>
      </c>
      <c r="K82" s="19">
        <v>65</v>
      </c>
      <c r="L82" s="20">
        <v>29.12</v>
      </c>
      <c r="M82" s="21">
        <v>1</v>
      </c>
      <c r="N82" s="22">
        <v>1892.8</v>
      </c>
      <c r="O82" s="21">
        <v>0.01</v>
      </c>
      <c r="P82" s="22">
        <f t="shared" si="1"/>
        <v>18.928000000000001</v>
      </c>
      <c r="Q82" s="16" t="s">
        <v>101</v>
      </c>
    </row>
    <row r="83" spans="1:17" x14ac:dyDescent="0.25">
      <c r="A83" s="16" t="s">
        <v>92</v>
      </c>
      <c r="B83" s="16" t="s">
        <v>93</v>
      </c>
      <c r="C83" s="16" t="s">
        <v>93</v>
      </c>
      <c r="D83" s="16" t="s">
        <v>93</v>
      </c>
      <c r="E83" s="16" t="s">
        <v>94</v>
      </c>
      <c r="F83" s="16" t="s">
        <v>19</v>
      </c>
      <c r="G83" t="s">
        <v>233</v>
      </c>
      <c r="H83" s="17" t="s">
        <v>243</v>
      </c>
      <c r="I83" s="17" t="s">
        <v>235</v>
      </c>
      <c r="J83" s="18">
        <v>46038</v>
      </c>
      <c r="K83" s="19">
        <v>120</v>
      </c>
      <c r="L83" s="20">
        <v>27.29</v>
      </c>
      <c r="M83" s="21">
        <v>1</v>
      </c>
      <c r="N83" s="22">
        <v>3274.8</v>
      </c>
      <c r="O83" s="21">
        <v>0.01</v>
      </c>
      <c r="P83" s="22">
        <f t="shared" si="1"/>
        <v>32.748000000000005</v>
      </c>
      <c r="Q83" s="16" t="s">
        <v>101</v>
      </c>
    </row>
    <row r="84" spans="1:17" x14ac:dyDescent="0.25">
      <c r="A84" s="16" t="s">
        <v>92</v>
      </c>
      <c r="B84" s="16" t="s">
        <v>93</v>
      </c>
      <c r="C84" s="16" t="s">
        <v>93</v>
      </c>
      <c r="D84" s="16" t="s">
        <v>93</v>
      </c>
      <c r="E84" s="16" t="s">
        <v>94</v>
      </c>
      <c r="F84" s="16" t="s">
        <v>19</v>
      </c>
      <c r="G84" t="s">
        <v>233</v>
      </c>
      <c r="H84" s="17" t="s">
        <v>247</v>
      </c>
      <c r="I84" s="17" t="s">
        <v>248</v>
      </c>
      <c r="J84" s="18">
        <v>46038</v>
      </c>
      <c r="K84" s="19">
        <v>6</v>
      </c>
      <c r="L84" s="20">
        <v>27.29</v>
      </c>
      <c r="M84" s="21">
        <v>1</v>
      </c>
      <c r="N84" s="22">
        <v>163.74</v>
      </c>
      <c r="O84" s="21">
        <v>0.01</v>
      </c>
      <c r="P84" s="22">
        <f t="shared" si="1"/>
        <v>1.6374000000000002</v>
      </c>
      <c r="Q84" s="16" t="s">
        <v>101</v>
      </c>
    </row>
    <row r="85" spans="1:17" x14ac:dyDescent="0.25">
      <c r="A85" s="16" t="s">
        <v>92</v>
      </c>
      <c r="B85" s="16" t="s">
        <v>93</v>
      </c>
      <c r="C85" s="16" t="s">
        <v>93</v>
      </c>
      <c r="D85" s="16" t="s">
        <v>93</v>
      </c>
      <c r="E85" s="16" t="s">
        <v>94</v>
      </c>
      <c r="F85" s="16" t="s">
        <v>19</v>
      </c>
      <c r="G85" t="s">
        <v>233</v>
      </c>
      <c r="H85" s="17" t="s">
        <v>249</v>
      </c>
      <c r="I85" s="17" t="s">
        <v>248</v>
      </c>
      <c r="J85" s="18">
        <v>46038</v>
      </c>
      <c r="K85" s="19">
        <v>5</v>
      </c>
      <c r="L85" s="20">
        <v>29.12</v>
      </c>
      <c r="M85" s="21">
        <v>1</v>
      </c>
      <c r="N85" s="22">
        <v>145.6</v>
      </c>
      <c r="O85" s="21">
        <v>0.01</v>
      </c>
      <c r="P85" s="22">
        <f t="shared" si="1"/>
        <v>1.456</v>
      </c>
      <c r="Q85" s="16" t="s">
        <v>101</v>
      </c>
    </row>
    <row r="86" spans="1:17" x14ac:dyDescent="0.25">
      <c r="A86" s="16" t="s">
        <v>92</v>
      </c>
      <c r="B86" s="16" t="s">
        <v>93</v>
      </c>
      <c r="C86" s="16" t="s">
        <v>93</v>
      </c>
      <c r="D86" s="16" t="s">
        <v>93</v>
      </c>
      <c r="E86" s="16" t="s">
        <v>94</v>
      </c>
      <c r="F86" s="16" t="s">
        <v>19</v>
      </c>
      <c r="G86" t="s">
        <v>233</v>
      </c>
      <c r="H86" s="17" t="s">
        <v>236</v>
      </c>
      <c r="I86" s="17" t="s">
        <v>235</v>
      </c>
      <c r="J86" s="18">
        <v>46038</v>
      </c>
      <c r="K86" s="19">
        <v>360</v>
      </c>
      <c r="L86" s="20">
        <v>27.29</v>
      </c>
      <c r="M86" s="21">
        <v>1</v>
      </c>
      <c r="N86" s="22">
        <v>9824.4</v>
      </c>
      <c r="O86" s="21">
        <v>0.01</v>
      </c>
      <c r="P86" s="22">
        <f t="shared" si="1"/>
        <v>98.244</v>
      </c>
      <c r="Q86" s="16" t="s">
        <v>101</v>
      </c>
    </row>
    <row r="87" spans="1:17" x14ac:dyDescent="0.25">
      <c r="A87" s="16" t="s">
        <v>92</v>
      </c>
      <c r="B87" s="16" t="s">
        <v>93</v>
      </c>
      <c r="C87" s="16" t="s">
        <v>93</v>
      </c>
      <c r="D87" s="16" t="s">
        <v>93</v>
      </c>
      <c r="E87" s="16" t="s">
        <v>94</v>
      </c>
      <c r="F87" s="16" t="s">
        <v>19</v>
      </c>
      <c r="G87" t="s">
        <v>233</v>
      </c>
      <c r="H87" s="17" t="s">
        <v>240</v>
      </c>
      <c r="I87" s="17" t="s">
        <v>235</v>
      </c>
      <c r="J87" s="18">
        <v>46038</v>
      </c>
      <c r="K87" s="19">
        <v>90</v>
      </c>
      <c r="L87" s="20">
        <v>26.47</v>
      </c>
      <c r="M87" s="21">
        <v>1</v>
      </c>
      <c r="N87" s="22">
        <v>2382.3000000000002</v>
      </c>
      <c r="O87" s="21">
        <v>0.01</v>
      </c>
      <c r="P87" s="22">
        <f t="shared" si="1"/>
        <v>23.823000000000004</v>
      </c>
      <c r="Q87" s="16" t="s">
        <v>101</v>
      </c>
    </row>
    <row r="88" spans="1:17" x14ac:dyDescent="0.25">
      <c r="A88" s="16" t="s">
        <v>92</v>
      </c>
      <c r="B88" s="16" t="s">
        <v>93</v>
      </c>
      <c r="C88" s="16" t="s">
        <v>93</v>
      </c>
      <c r="D88" s="16" t="s">
        <v>93</v>
      </c>
      <c r="E88" s="16" t="s">
        <v>94</v>
      </c>
      <c r="F88" s="16" t="s">
        <v>19</v>
      </c>
      <c r="G88" t="s">
        <v>233</v>
      </c>
      <c r="H88" s="17" t="s">
        <v>236</v>
      </c>
      <c r="I88" s="17" t="s">
        <v>250</v>
      </c>
      <c r="J88" s="18">
        <v>46051</v>
      </c>
      <c r="K88" s="19">
        <v>12</v>
      </c>
      <c r="L88" s="20">
        <v>26.62</v>
      </c>
      <c r="M88" s="21">
        <v>1</v>
      </c>
      <c r="N88" s="22">
        <v>-319.44</v>
      </c>
      <c r="O88" s="21">
        <v>0.01</v>
      </c>
      <c r="P88" s="22">
        <f t="shared" si="1"/>
        <v>-3.1943999999999999</v>
      </c>
      <c r="Q88" s="16" t="s">
        <v>238</v>
      </c>
    </row>
    <row r="89" spans="1:17" x14ac:dyDescent="0.25">
      <c r="A89" s="16" t="s">
        <v>92</v>
      </c>
      <c r="B89" s="16" t="s">
        <v>93</v>
      </c>
      <c r="C89" s="16" t="s">
        <v>93</v>
      </c>
      <c r="D89" s="16" t="s">
        <v>93</v>
      </c>
      <c r="E89" s="16" t="s">
        <v>94</v>
      </c>
      <c r="F89" s="16" t="s">
        <v>19</v>
      </c>
      <c r="G89" t="s">
        <v>233</v>
      </c>
      <c r="H89" s="17" t="s">
        <v>234</v>
      </c>
      <c r="I89" s="17" t="s">
        <v>251</v>
      </c>
      <c r="J89" s="18">
        <v>46035</v>
      </c>
      <c r="K89" s="19">
        <v>4.5</v>
      </c>
      <c r="L89" s="20">
        <v>25.62</v>
      </c>
      <c r="M89" s="21">
        <v>1</v>
      </c>
      <c r="N89" s="22">
        <v>-115.29</v>
      </c>
      <c r="O89" s="21">
        <v>0.01</v>
      </c>
      <c r="P89" s="22">
        <f t="shared" si="1"/>
        <v>-1.1529</v>
      </c>
      <c r="Q89" s="16" t="s">
        <v>238</v>
      </c>
    </row>
    <row r="90" spans="1:17" x14ac:dyDescent="0.25">
      <c r="A90" s="16" t="s">
        <v>92</v>
      </c>
      <c r="B90" s="16" t="s">
        <v>93</v>
      </c>
      <c r="C90" s="16" t="s">
        <v>93</v>
      </c>
      <c r="D90" s="16" t="s">
        <v>93</v>
      </c>
      <c r="E90" s="16" t="s">
        <v>94</v>
      </c>
      <c r="F90" s="16" t="s">
        <v>19</v>
      </c>
      <c r="G90" t="s">
        <v>233</v>
      </c>
      <c r="H90" s="17" t="s">
        <v>236</v>
      </c>
      <c r="I90" s="17" t="s">
        <v>252</v>
      </c>
      <c r="J90" s="18">
        <v>46051</v>
      </c>
      <c r="K90" s="19">
        <v>3</v>
      </c>
      <c r="L90" s="20">
        <v>27.29</v>
      </c>
      <c r="M90" s="21">
        <v>1</v>
      </c>
      <c r="N90" s="22">
        <v>-81.87</v>
      </c>
      <c r="O90" s="21">
        <v>0.01</v>
      </c>
      <c r="P90" s="22">
        <f t="shared" si="1"/>
        <v>-0.81870000000000009</v>
      </c>
      <c r="Q90" s="16" t="s">
        <v>238</v>
      </c>
    </row>
    <row r="91" spans="1:17" x14ac:dyDescent="0.25">
      <c r="A91" s="16" t="s">
        <v>92</v>
      </c>
      <c r="B91" s="16" t="s">
        <v>93</v>
      </c>
      <c r="C91" s="16" t="s">
        <v>93</v>
      </c>
      <c r="D91" s="16" t="s">
        <v>93</v>
      </c>
      <c r="E91" s="16" t="s">
        <v>94</v>
      </c>
      <c r="F91" s="16" t="s">
        <v>19</v>
      </c>
      <c r="G91" t="s">
        <v>233</v>
      </c>
      <c r="H91" s="17" t="s">
        <v>236</v>
      </c>
      <c r="I91" s="17" t="s">
        <v>253</v>
      </c>
      <c r="J91" s="18">
        <v>46035</v>
      </c>
      <c r="K91" s="19">
        <v>3</v>
      </c>
      <c r="L91" s="20">
        <v>26.62</v>
      </c>
      <c r="M91" s="21">
        <v>1</v>
      </c>
      <c r="N91" s="22">
        <v>-79.86</v>
      </c>
      <c r="O91" s="21">
        <v>0.01</v>
      </c>
      <c r="P91" s="22">
        <f t="shared" si="1"/>
        <v>-0.79859999999999998</v>
      </c>
      <c r="Q91" s="16" t="s">
        <v>238</v>
      </c>
    </row>
    <row r="92" spans="1:17" x14ac:dyDescent="0.25">
      <c r="A92" s="16" t="s">
        <v>92</v>
      </c>
      <c r="B92" s="16" t="s">
        <v>93</v>
      </c>
      <c r="C92" s="16" t="s">
        <v>93</v>
      </c>
      <c r="D92" s="16" t="s">
        <v>93</v>
      </c>
      <c r="E92" s="16" t="s">
        <v>94</v>
      </c>
      <c r="F92" s="16" t="s">
        <v>19</v>
      </c>
      <c r="G92" t="s">
        <v>233</v>
      </c>
      <c r="H92" s="17" t="s">
        <v>236</v>
      </c>
      <c r="I92" s="17" t="s">
        <v>254</v>
      </c>
      <c r="J92" s="18">
        <v>46035</v>
      </c>
      <c r="K92" s="19">
        <v>6</v>
      </c>
      <c r="L92" s="20">
        <v>26.62</v>
      </c>
      <c r="M92" s="21">
        <v>1</v>
      </c>
      <c r="N92" s="22">
        <v>-159.72</v>
      </c>
      <c r="O92" s="21">
        <v>0.01</v>
      </c>
      <c r="P92" s="22">
        <f t="shared" si="1"/>
        <v>-1.5972</v>
      </c>
      <c r="Q92" s="16" t="s">
        <v>238</v>
      </c>
    </row>
    <row r="93" spans="1:17" x14ac:dyDescent="0.25">
      <c r="A93" s="16" t="s">
        <v>92</v>
      </c>
      <c r="B93" s="16" t="s">
        <v>93</v>
      </c>
      <c r="C93" s="16" t="s">
        <v>93</v>
      </c>
      <c r="D93" s="16" t="s">
        <v>93</v>
      </c>
      <c r="E93" s="16" t="s">
        <v>94</v>
      </c>
      <c r="F93" s="16" t="s">
        <v>19</v>
      </c>
      <c r="G93" t="s">
        <v>233</v>
      </c>
      <c r="H93" s="17" t="s">
        <v>236</v>
      </c>
      <c r="I93" s="17" t="s">
        <v>255</v>
      </c>
      <c r="J93" s="18">
        <v>46051</v>
      </c>
      <c r="K93" s="19">
        <v>9</v>
      </c>
      <c r="L93" s="20">
        <v>26.62</v>
      </c>
      <c r="M93" s="21">
        <v>1</v>
      </c>
      <c r="N93" s="22">
        <v>-239.58</v>
      </c>
      <c r="O93" s="21">
        <v>0.01</v>
      </c>
      <c r="P93" s="22">
        <f t="shared" si="1"/>
        <v>-2.3958000000000004</v>
      </c>
      <c r="Q93" s="16" t="s">
        <v>238</v>
      </c>
    </row>
    <row r="94" spans="1:17" x14ac:dyDescent="0.25">
      <c r="A94" s="16" t="s">
        <v>92</v>
      </c>
      <c r="B94" s="16" t="s">
        <v>93</v>
      </c>
      <c r="C94" s="16" t="s">
        <v>93</v>
      </c>
      <c r="D94" s="16" t="s">
        <v>93</v>
      </c>
      <c r="E94" s="16" t="s">
        <v>94</v>
      </c>
      <c r="F94" s="16" t="s">
        <v>19</v>
      </c>
      <c r="G94" t="s">
        <v>233</v>
      </c>
      <c r="H94" s="17" t="s">
        <v>236</v>
      </c>
      <c r="I94" s="17" t="s">
        <v>256</v>
      </c>
      <c r="J94" s="18">
        <v>46035</v>
      </c>
      <c r="K94" s="19">
        <v>6</v>
      </c>
      <c r="L94" s="20">
        <v>26.62</v>
      </c>
      <c r="M94" s="21">
        <v>1</v>
      </c>
      <c r="N94" s="22">
        <v>-159.72</v>
      </c>
      <c r="O94" s="21">
        <v>0.01</v>
      </c>
      <c r="P94" s="22">
        <f t="shared" si="1"/>
        <v>-1.5972</v>
      </c>
      <c r="Q94" s="16" t="s">
        <v>238</v>
      </c>
    </row>
    <row r="95" spans="1:17" x14ac:dyDescent="0.25">
      <c r="A95" s="16" t="s">
        <v>92</v>
      </c>
      <c r="B95" s="16" t="s">
        <v>93</v>
      </c>
      <c r="C95" s="16" t="s">
        <v>93</v>
      </c>
      <c r="D95" s="16" t="s">
        <v>93</v>
      </c>
      <c r="E95" s="16" t="s">
        <v>94</v>
      </c>
      <c r="F95" s="16" t="s">
        <v>19</v>
      </c>
      <c r="G95" t="s">
        <v>233</v>
      </c>
      <c r="H95" s="17" t="s">
        <v>243</v>
      </c>
      <c r="I95" s="17" t="s">
        <v>257</v>
      </c>
      <c r="J95" s="18">
        <v>46051</v>
      </c>
      <c r="K95" s="19">
        <v>3</v>
      </c>
      <c r="L95" s="20">
        <v>26.62</v>
      </c>
      <c r="M95" s="21">
        <v>1</v>
      </c>
      <c r="N95" s="22">
        <v>-79.86</v>
      </c>
      <c r="O95" s="21">
        <v>0.01</v>
      </c>
      <c r="P95" s="22">
        <f t="shared" si="1"/>
        <v>-0.79859999999999998</v>
      </c>
      <c r="Q95" s="16" t="s">
        <v>238</v>
      </c>
    </row>
    <row r="96" spans="1:17" x14ac:dyDescent="0.25">
      <c r="A96" s="16" t="s">
        <v>92</v>
      </c>
      <c r="B96" s="16" t="s">
        <v>93</v>
      </c>
      <c r="C96" s="16" t="s">
        <v>93</v>
      </c>
      <c r="D96" s="16" t="s">
        <v>93</v>
      </c>
      <c r="E96" s="16" t="s">
        <v>94</v>
      </c>
      <c r="F96" s="16" t="s">
        <v>19</v>
      </c>
      <c r="G96" t="s">
        <v>233</v>
      </c>
      <c r="H96" s="17" t="s">
        <v>240</v>
      </c>
      <c r="I96" s="17" t="s">
        <v>258</v>
      </c>
      <c r="J96" s="18">
        <v>46051</v>
      </c>
      <c r="K96" s="19">
        <v>4.5</v>
      </c>
      <c r="L96" s="20">
        <v>25.82</v>
      </c>
      <c r="M96" s="21">
        <v>1</v>
      </c>
      <c r="N96" s="22">
        <v>-116.19</v>
      </c>
      <c r="O96" s="21">
        <v>0.01</v>
      </c>
      <c r="P96" s="22">
        <f t="shared" si="1"/>
        <v>-1.1618999999999999</v>
      </c>
      <c r="Q96" s="16" t="s">
        <v>238</v>
      </c>
    </row>
    <row r="97" spans="1:17" x14ac:dyDescent="0.25">
      <c r="A97" s="16" t="s">
        <v>92</v>
      </c>
      <c r="B97" s="16" t="s">
        <v>93</v>
      </c>
      <c r="C97" s="16" t="s">
        <v>93</v>
      </c>
      <c r="D97" s="16" t="s">
        <v>93</v>
      </c>
      <c r="E97" s="16" t="s">
        <v>94</v>
      </c>
      <c r="F97" s="16" t="s">
        <v>19</v>
      </c>
      <c r="G97" t="s">
        <v>233</v>
      </c>
      <c r="H97" s="17" t="s">
        <v>236</v>
      </c>
      <c r="I97" s="17" t="s">
        <v>259</v>
      </c>
      <c r="J97" s="18">
        <v>46035</v>
      </c>
      <c r="K97" s="19">
        <v>6</v>
      </c>
      <c r="L97" s="20">
        <v>26.62</v>
      </c>
      <c r="M97" s="21">
        <v>1</v>
      </c>
      <c r="N97" s="22">
        <v>-159.72</v>
      </c>
      <c r="O97" s="21">
        <v>0.01</v>
      </c>
      <c r="P97" s="22">
        <f t="shared" si="1"/>
        <v>-1.5972</v>
      </c>
      <c r="Q97" s="16" t="s">
        <v>238</v>
      </c>
    </row>
    <row r="98" spans="1:17" x14ac:dyDescent="0.25">
      <c r="A98" s="16" t="s">
        <v>92</v>
      </c>
      <c r="B98" s="16" t="s">
        <v>93</v>
      </c>
      <c r="C98" s="16" t="s">
        <v>93</v>
      </c>
      <c r="D98" s="16" t="s">
        <v>93</v>
      </c>
      <c r="E98" s="16" t="s">
        <v>94</v>
      </c>
      <c r="F98" s="16" t="s">
        <v>19</v>
      </c>
      <c r="G98" t="s">
        <v>233</v>
      </c>
      <c r="H98" s="17" t="s">
        <v>236</v>
      </c>
      <c r="I98" s="17" t="s">
        <v>260</v>
      </c>
      <c r="J98" s="18">
        <v>46051</v>
      </c>
      <c r="K98" s="19">
        <v>12</v>
      </c>
      <c r="L98" s="20">
        <v>26.62</v>
      </c>
      <c r="M98" s="21">
        <v>1</v>
      </c>
      <c r="N98" s="22">
        <v>-319.44</v>
      </c>
      <c r="O98" s="21">
        <v>0.01</v>
      </c>
      <c r="P98" s="22">
        <f t="shared" si="1"/>
        <v>-3.1943999999999999</v>
      </c>
      <c r="Q98" s="16" t="s">
        <v>238</v>
      </c>
    </row>
    <row r="99" spans="1:17" x14ac:dyDescent="0.25">
      <c r="A99" s="16" t="s">
        <v>92</v>
      </c>
      <c r="B99" s="16" t="s">
        <v>93</v>
      </c>
      <c r="C99" s="16" t="s">
        <v>93</v>
      </c>
      <c r="D99" s="16" t="s">
        <v>93</v>
      </c>
      <c r="E99" s="16" t="s">
        <v>94</v>
      </c>
      <c r="F99" s="16" t="s">
        <v>19</v>
      </c>
      <c r="G99" t="s">
        <v>233</v>
      </c>
      <c r="H99" s="17" t="s">
        <v>234</v>
      </c>
      <c r="I99" s="17" t="s">
        <v>261</v>
      </c>
      <c r="J99" s="18">
        <v>46035</v>
      </c>
      <c r="K99" s="19">
        <v>4.5</v>
      </c>
      <c r="L99" s="20">
        <v>25.62</v>
      </c>
      <c r="M99" s="21">
        <v>1</v>
      </c>
      <c r="N99" s="22">
        <v>-115.29</v>
      </c>
      <c r="O99" s="21">
        <v>0.01</v>
      </c>
      <c r="P99" s="22">
        <f t="shared" si="1"/>
        <v>-1.1529</v>
      </c>
      <c r="Q99" s="16" t="s">
        <v>238</v>
      </c>
    </row>
    <row r="100" spans="1:17" x14ac:dyDescent="0.25">
      <c r="A100" s="16" t="s">
        <v>92</v>
      </c>
      <c r="B100" s="16" t="s">
        <v>93</v>
      </c>
      <c r="C100" s="16" t="s">
        <v>93</v>
      </c>
      <c r="D100" s="16" t="s">
        <v>93</v>
      </c>
      <c r="E100" s="16" t="s">
        <v>94</v>
      </c>
      <c r="F100" s="16" t="s">
        <v>19</v>
      </c>
      <c r="G100" t="s">
        <v>233</v>
      </c>
      <c r="H100" s="17" t="s">
        <v>240</v>
      </c>
      <c r="I100" s="17" t="s">
        <v>262</v>
      </c>
      <c r="J100" s="18">
        <v>46051</v>
      </c>
      <c r="K100" s="19">
        <v>4.5</v>
      </c>
      <c r="L100" s="20">
        <v>25.82</v>
      </c>
      <c r="M100" s="21">
        <v>1</v>
      </c>
      <c r="N100" s="22">
        <v>-116.19</v>
      </c>
      <c r="O100" s="21">
        <v>0.01</v>
      </c>
      <c r="P100" s="22">
        <f t="shared" si="1"/>
        <v>-1.1618999999999999</v>
      </c>
      <c r="Q100" s="16" t="s">
        <v>238</v>
      </c>
    </row>
    <row r="101" spans="1:17" x14ac:dyDescent="0.25">
      <c r="A101" s="16" t="s">
        <v>92</v>
      </c>
      <c r="B101" s="16" t="s">
        <v>93</v>
      </c>
      <c r="C101" s="16" t="s">
        <v>93</v>
      </c>
      <c r="D101" s="16" t="s">
        <v>93</v>
      </c>
      <c r="E101" s="16" t="s">
        <v>94</v>
      </c>
      <c r="F101" s="16" t="s">
        <v>56</v>
      </c>
      <c r="G101" t="s">
        <v>263</v>
      </c>
      <c r="H101" s="17" t="s">
        <v>264</v>
      </c>
      <c r="I101" s="17" t="s">
        <v>265</v>
      </c>
      <c r="J101" s="18">
        <v>46043</v>
      </c>
      <c r="K101" s="19">
        <v>6</v>
      </c>
      <c r="L101" s="20">
        <v>65.930000000000007</v>
      </c>
      <c r="M101" s="21">
        <v>1</v>
      </c>
      <c r="N101" s="22">
        <v>395.58</v>
      </c>
      <c r="O101" s="21">
        <v>0.03</v>
      </c>
      <c r="P101" s="22">
        <f t="shared" si="1"/>
        <v>11.8674</v>
      </c>
      <c r="Q101" s="16" t="s">
        <v>98</v>
      </c>
    </row>
    <row r="102" spans="1:17" x14ac:dyDescent="0.25">
      <c r="A102" s="16" t="s">
        <v>92</v>
      </c>
      <c r="B102" s="16" t="s">
        <v>93</v>
      </c>
      <c r="C102" s="16" t="s">
        <v>93</v>
      </c>
      <c r="D102" s="16" t="s">
        <v>93</v>
      </c>
      <c r="E102" s="16" t="s">
        <v>160</v>
      </c>
      <c r="F102" s="16" t="s">
        <v>72</v>
      </c>
      <c r="G102" t="s">
        <v>266</v>
      </c>
      <c r="H102" s="17" t="s">
        <v>267</v>
      </c>
      <c r="I102" s="17" t="s">
        <v>268</v>
      </c>
      <c r="J102" s="18">
        <v>46042</v>
      </c>
      <c r="K102" s="19">
        <v>120000</v>
      </c>
      <c r="L102" s="20">
        <v>0.12</v>
      </c>
      <c r="M102" s="21">
        <v>1</v>
      </c>
      <c r="N102" s="22">
        <v>14400</v>
      </c>
      <c r="O102" s="21">
        <v>0.03</v>
      </c>
      <c r="P102" s="22">
        <f t="shared" si="1"/>
        <v>432</v>
      </c>
      <c r="Q102" s="16" t="s">
        <v>164</v>
      </c>
    </row>
    <row r="103" spans="1:17" x14ac:dyDescent="0.25">
      <c r="A103" s="16" t="s">
        <v>92</v>
      </c>
      <c r="B103" s="16" t="s">
        <v>93</v>
      </c>
      <c r="C103" s="16" t="s">
        <v>93</v>
      </c>
      <c r="D103" s="16" t="s">
        <v>93</v>
      </c>
      <c r="E103" s="16" t="s">
        <v>94</v>
      </c>
      <c r="F103" s="16" t="s">
        <v>72</v>
      </c>
      <c r="G103" t="s">
        <v>266</v>
      </c>
      <c r="H103" s="17" t="s">
        <v>269</v>
      </c>
      <c r="I103" s="17" t="s">
        <v>270</v>
      </c>
      <c r="J103" s="18">
        <v>46052</v>
      </c>
      <c r="K103" s="19">
        <v>50</v>
      </c>
      <c r="L103" s="20">
        <v>34.369999999999997</v>
      </c>
      <c r="M103" s="21">
        <v>1</v>
      </c>
      <c r="N103" s="22">
        <v>1718.5</v>
      </c>
      <c r="O103" s="21">
        <v>0.03</v>
      </c>
      <c r="P103" s="22">
        <f t="shared" si="1"/>
        <v>51.555</v>
      </c>
      <c r="Q103" s="16" t="s">
        <v>101</v>
      </c>
    </row>
    <row r="104" spans="1:17" x14ac:dyDescent="0.25">
      <c r="A104" s="16" t="s">
        <v>92</v>
      </c>
      <c r="B104" s="16" t="s">
        <v>93</v>
      </c>
      <c r="C104" s="16" t="s">
        <v>93</v>
      </c>
      <c r="D104" s="16" t="s">
        <v>93</v>
      </c>
      <c r="E104" s="16" t="s">
        <v>160</v>
      </c>
      <c r="F104" s="16" t="s">
        <v>72</v>
      </c>
      <c r="G104" t="s">
        <v>266</v>
      </c>
      <c r="H104" s="17" t="s">
        <v>271</v>
      </c>
      <c r="I104" s="17" t="s">
        <v>272</v>
      </c>
      <c r="J104" s="18">
        <v>46038</v>
      </c>
      <c r="K104" s="19">
        <v>12000</v>
      </c>
      <c r="L104" s="20">
        <v>0.17599999999999999</v>
      </c>
      <c r="M104" s="21">
        <v>1</v>
      </c>
      <c r="N104" s="22">
        <v>2112</v>
      </c>
      <c r="O104" s="21">
        <v>0.03</v>
      </c>
      <c r="P104" s="22">
        <f t="shared" si="1"/>
        <v>63.36</v>
      </c>
      <c r="Q104" s="16" t="s">
        <v>164</v>
      </c>
    </row>
    <row r="105" spans="1:17" x14ac:dyDescent="0.25">
      <c r="A105" s="16" t="s">
        <v>92</v>
      </c>
      <c r="B105" s="16" t="s">
        <v>93</v>
      </c>
      <c r="C105" s="16" t="s">
        <v>93</v>
      </c>
      <c r="D105" s="16" t="s">
        <v>93</v>
      </c>
      <c r="E105" s="16" t="s">
        <v>160</v>
      </c>
      <c r="F105" s="16" t="s">
        <v>72</v>
      </c>
      <c r="G105" t="s">
        <v>266</v>
      </c>
      <c r="H105" s="17" t="s">
        <v>267</v>
      </c>
      <c r="I105" s="17" t="s">
        <v>273</v>
      </c>
      <c r="J105" s="18">
        <v>46034</v>
      </c>
      <c r="K105" s="19">
        <v>120000</v>
      </c>
      <c r="L105" s="20">
        <v>0.12</v>
      </c>
      <c r="M105" s="21">
        <v>1</v>
      </c>
      <c r="N105" s="22">
        <v>14400</v>
      </c>
      <c r="O105" s="21">
        <v>0.03</v>
      </c>
      <c r="P105" s="22">
        <f t="shared" si="1"/>
        <v>432</v>
      </c>
      <c r="Q105" s="16" t="s">
        <v>164</v>
      </c>
    </row>
    <row r="106" spans="1:17" x14ac:dyDescent="0.25">
      <c r="A106" s="16" t="s">
        <v>92</v>
      </c>
      <c r="B106" s="16" t="s">
        <v>93</v>
      </c>
      <c r="C106" s="16" t="s">
        <v>93</v>
      </c>
      <c r="D106" s="16" t="s">
        <v>93</v>
      </c>
      <c r="E106" s="16" t="s">
        <v>160</v>
      </c>
      <c r="F106" s="16" t="s">
        <v>72</v>
      </c>
      <c r="G106" t="s">
        <v>266</v>
      </c>
      <c r="H106" s="17" t="s">
        <v>271</v>
      </c>
      <c r="I106" s="17" t="s">
        <v>274</v>
      </c>
      <c r="J106" s="18">
        <v>46038</v>
      </c>
      <c r="K106" s="19">
        <v>12000</v>
      </c>
      <c r="L106" s="20">
        <v>0.17599999999999999</v>
      </c>
      <c r="M106" s="21">
        <v>1</v>
      </c>
      <c r="N106" s="22">
        <v>2112</v>
      </c>
      <c r="O106" s="21">
        <v>0.03</v>
      </c>
      <c r="P106" s="22">
        <f t="shared" si="1"/>
        <v>63.36</v>
      </c>
      <c r="Q106" s="16" t="s">
        <v>164</v>
      </c>
    </row>
    <row r="107" spans="1:17" x14ac:dyDescent="0.25">
      <c r="A107" s="16" t="s">
        <v>92</v>
      </c>
      <c r="B107" s="16" t="s">
        <v>93</v>
      </c>
      <c r="C107" s="16" t="s">
        <v>93</v>
      </c>
      <c r="D107" s="16" t="s">
        <v>93</v>
      </c>
      <c r="E107" s="16" t="s">
        <v>275</v>
      </c>
      <c r="F107" s="16" t="s">
        <v>72</v>
      </c>
      <c r="G107" t="s">
        <v>266</v>
      </c>
      <c r="H107" s="17" t="s">
        <v>276</v>
      </c>
      <c r="I107" s="17" t="s">
        <v>277</v>
      </c>
      <c r="J107" s="18">
        <v>46052</v>
      </c>
      <c r="K107" s="19">
        <v>6</v>
      </c>
      <c r="L107" s="20">
        <v>166.24</v>
      </c>
      <c r="M107" s="21">
        <v>1</v>
      </c>
      <c r="N107" s="22">
        <v>997.44</v>
      </c>
      <c r="O107" s="21">
        <v>0.03</v>
      </c>
      <c r="P107" s="22">
        <f t="shared" si="1"/>
        <v>29.923200000000001</v>
      </c>
      <c r="Q107" s="16" t="s">
        <v>278</v>
      </c>
    </row>
    <row r="108" spans="1:17" x14ac:dyDescent="0.25">
      <c r="A108" s="16" t="s">
        <v>92</v>
      </c>
      <c r="B108" s="16" t="s">
        <v>93</v>
      </c>
      <c r="C108" s="16" t="s">
        <v>93</v>
      </c>
      <c r="D108" s="16" t="s">
        <v>93</v>
      </c>
      <c r="E108" s="16" t="s">
        <v>94</v>
      </c>
      <c r="F108" s="16" t="s">
        <v>141</v>
      </c>
      <c r="G108" t="s">
        <v>279</v>
      </c>
      <c r="H108" s="17" t="s">
        <v>280</v>
      </c>
      <c r="I108" s="17" t="s">
        <v>281</v>
      </c>
      <c r="J108" s="18">
        <v>46035</v>
      </c>
      <c r="K108" s="19">
        <v>60</v>
      </c>
      <c r="L108" s="20">
        <v>46.34</v>
      </c>
      <c r="M108" s="21">
        <v>1</v>
      </c>
      <c r="N108" s="22">
        <v>2780.4</v>
      </c>
      <c r="O108" s="21">
        <v>0.03</v>
      </c>
      <c r="P108" s="22">
        <f t="shared" si="1"/>
        <v>83.412000000000006</v>
      </c>
      <c r="Q108" s="16" t="s">
        <v>98</v>
      </c>
    </row>
    <row r="109" spans="1:17" x14ac:dyDescent="0.25">
      <c r="A109" s="16" t="s">
        <v>92</v>
      </c>
      <c r="B109" s="16" t="s">
        <v>93</v>
      </c>
      <c r="C109" s="16" t="s">
        <v>93</v>
      </c>
      <c r="D109" s="16" t="s">
        <v>93</v>
      </c>
      <c r="E109" s="16" t="s">
        <v>94</v>
      </c>
      <c r="F109" s="16" t="s">
        <v>141</v>
      </c>
      <c r="G109" t="s">
        <v>279</v>
      </c>
      <c r="H109" s="17" t="s">
        <v>282</v>
      </c>
      <c r="I109" s="17" t="s">
        <v>281</v>
      </c>
      <c r="J109" s="18">
        <v>46035</v>
      </c>
      <c r="K109" s="19">
        <v>32</v>
      </c>
      <c r="L109" s="20">
        <v>174.95</v>
      </c>
      <c r="M109" s="21">
        <v>1</v>
      </c>
      <c r="N109" s="22">
        <v>5598.4</v>
      </c>
      <c r="O109" s="21">
        <v>0.03</v>
      </c>
      <c r="P109" s="22">
        <f t="shared" si="1"/>
        <v>167.95199999999997</v>
      </c>
      <c r="Q109" s="16" t="s">
        <v>98</v>
      </c>
    </row>
    <row r="110" spans="1:17" x14ac:dyDescent="0.25">
      <c r="A110" s="16" t="s">
        <v>92</v>
      </c>
      <c r="B110" s="16" t="s">
        <v>93</v>
      </c>
      <c r="C110" s="16" t="s">
        <v>93</v>
      </c>
      <c r="D110" s="16" t="s">
        <v>93</v>
      </c>
      <c r="E110" s="16" t="s">
        <v>202</v>
      </c>
      <c r="F110" s="16" t="s">
        <v>141</v>
      </c>
      <c r="G110" t="s">
        <v>279</v>
      </c>
      <c r="H110" s="17" t="s">
        <v>280</v>
      </c>
      <c r="I110" s="17" t="s">
        <v>283</v>
      </c>
      <c r="J110" s="18">
        <v>46031</v>
      </c>
      <c r="K110" s="19">
        <v>16</v>
      </c>
      <c r="L110" s="20">
        <v>44.02</v>
      </c>
      <c r="M110" s="21">
        <v>1</v>
      </c>
      <c r="N110" s="22">
        <v>704.37</v>
      </c>
      <c r="O110" s="21">
        <v>0.03</v>
      </c>
      <c r="P110" s="22">
        <f t="shared" si="1"/>
        <v>21.1311</v>
      </c>
      <c r="Q110" s="16" t="s">
        <v>206</v>
      </c>
    </row>
    <row r="111" spans="1:17" x14ac:dyDescent="0.25">
      <c r="A111" s="16" t="s">
        <v>92</v>
      </c>
      <c r="B111" s="16" t="s">
        <v>93</v>
      </c>
      <c r="C111" s="16" t="s">
        <v>93</v>
      </c>
      <c r="D111" s="16" t="s">
        <v>93</v>
      </c>
      <c r="E111" s="16" t="s">
        <v>202</v>
      </c>
      <c r="F111" s="16" t="s">
        <v>141</v>
      </c>
      <c r="G111" t="s">
        <v>279</v>
      </c>
      <c r="H111" s="17" t="s">
        <v>280</v>
      </c>
      <c r="I111" s="17" t="s">
        <v>284</v>
      </c>
      <c r="J111" s="18">
        <v>46030</v>
      </c>
      <c r="K111" s="19">
        <v>20</v>
      </c>
      <c r="L111" s="20">
        <v>44.02</v>
      </c>
      <c r="M111" s="21">
        <v>1</v>
      </c>
      <c r="N111" s="22">
        <v>880.46</v>
      </c>
      <c r="O111" s="21">
        <v>0.03</v>
      </c>
      <c r="P111" s="22">
        <f t="shared" si="1"/>
        <v>26.413799999999998</v>
      </c>
      <c r="Q111" s="16" t="s">
        <v>206</v>
      </c>
    </row>
    <row r="112" spans="1:17" x14ac:dyDescent="0.25">
      <c r="A112" s="16" t="s">
        <v>92</v>
      </c>
      <c r="B112" s="16" t="s">
        <v>93</v>
      </c>
      <c r="C112" s="16" t="s">
        <v>93</v>
      </c>
      <c r="D112" s="16" t="s">
        <v>93</v>
      </c>
      <c r="E112" s="16" t="s">
        <v>275</v>
      </c>
      <c r="F112" s="16" t="s">
        <v>43</v>
      </c>
      <c r="G112" t="s">
        <v>285</v>
      </c>
      <c r="H112" s="17" t="s">
        <v>286</v>
      </c>
      <c r="I112" s="17" t="s">
        <v>287</v>
      </c>
      <c r="J112" s="18">
        <v>46042</v>
      </c>
      <c r="K112" s="19">
        <v>3</v>
      </c>
      <c r="L112" s="20">
        <v>170.67</v>
      </c>
      <c r="M112" s="21">
        <v>1</v>
      </c>
      <c r="N112" s="22">
        <v>512.01</v>
      </c>
      <c r="O112" s="21">
        <v>0.03</v>
      </c>
      <c r="P112" s="22">
        <f t="shared" si="1"/>
        <v>15.360299999999999</v>
      </c>
      <c r="Q112" s="16" t="s">
        <v>278</v>
      </c>
    </row>
    <row r="113" spans="1:17" x14ac:dyDescent="0.25">
      <c r="A113" s="16" t="s">
        <v>92</v>
      </c>
      <c r="B113" s="16" t="s">
        <v>93</v>
      </c>
      <c r="C113" s="16" t="s">
        <v>93</v>
      </c>
      <c r="D113" s="16" t="s">
        <v>93</v>
      </c>
      <c r="E113" s="16" t="s">
        <v>275</v>
      </c>
      <c r="F113" s="16" t="s">
        <v>43</v>
      </c>
      <c r="G113" t="s">
        <v>285</v>
      </c>
      <c r="H113" s="17" t="s">
        <v>288</v>
      </c>
      <c r="I113" s="17" t="s">
        <v>287</v>
      </c>
      <c r="J113" s="18">
        <v>46042</v>
      </c>
      <c r="K113" s="19">
        <v>3</v>
      </c>
      <c r="L113" s="20">
        <v>170.67</v>
      </c>
      <c r="M113" s="21">
        <v>1</v>
      </c>
      <c r="N113" s="22">
        <v>512.01</v>
      </c>
      <c r="O113" s="21">
        <v>0.03</v>
      </c>
      <c r="P113" s="22">
        <f t="shared" si="1"/>
        <v>15.360299999999999</v>
      </c>
      <c r="Q113" s="16" t="s">
        <v>278</v>
      </c>
    </row>
    <row r="114" spans="1:17" x14ac:dyDescent="0.25">
      <c r="A114" s="16" t="s">
        <v>92</v>
      </c>
      <c r="B114" s="16" t="s">
        <v>93</v>
      </c>
      <c r="C114" s="16" t="s">
        <v>93</v>
      </c>
      <c r="D114" s="16" t="s">
        <v>93</v>
      </c>
      <c r="E114" s="16" t="s">
        <v>275</v>
      </c>
      <c r="F114" s="16" t="s">
        <v>43</v>
      </c>
      <c r="G114" t="s">
        <v>285</v>
      </c>
      <c r="H114" s="17" t="s">
        <v>289</v>
      </c>
      <c r="I114" s="17" t="s">
        <v>287</v>
      </c>
      <c r="J114" s="18">
        <v>46042</v>
      </c>
      <c r="K114" s="19">
        <v>6</v>
      </c>
      <c r="L114" s="20">
        <v>170.67</v>
      </c>
      <c r="M114" s="21">
        <v>1</v>
      </c>
      <c r="N114" s="22">
        <v>1024.02</v>
      </c>
      <c r="O114" s="21">
        <v>0.03</v>
      </c>
      <c r="P114" s="22">
        <f t="shared" si="1"/>
        <v>30.720599999999997</v>
      </c>
      <c r="Q114" s="16" t="s">
        <v>278</v>
      </c>
    </row>
    <row r="115" spans="1:17" x14ac:dyDescent="0.25">
      <c r="A115" s="16" t="s">
        <v>92</v>
      </c>
      <c r="B115" s="16" t="s">
        <v>93</v>
      </c>
      <c r="C115" s="16" t="s">
        <v>93</v>
      </c>
      <c r="D115" s="16" t="s">
        <v>93</v>
      </c>
      <c r="E115" s="16" t="s">
        <v>275</v>
      </c>
      <c r="F115" s="16" t="s">
        <v>43</v>
      </c>
      <c r="G115" t="s">
        <v>285</v>
      </c>
      <c r="H115" s="17" t="s">
        <v>290</v>
      </c>
      <c r="I115" s="17" t="s">
        <v>287</v>
      </c>
      <c r="J115" s="18">
        <v>46042</v>
      </c>
      <c r="K115" s="19">
        <v>9</v>
      </c>
      <c r="L115" s="20">
        <v>170.67</v>
      </c>
      <c r="M115" s="21">
        <v>1</v>
      </c>
      <c r="N115" s="22">
        <v>1536.03</v>
      </c>
      <c r="O115" s="21">
        <v>0.03</v>
      </c>
      <c r="P115" s="22">
        <f t="shared" si="1"/>
        <v>46.0809</v>
      </c>
      <c r="Q115" s="16" t="s">
        <v>278</v>
      </c>
    </row>
    <row r="116" spans="1:17" x14ac:dyDescent="0.25">
      <c r="A116" s="16" t="s">
        <v>92</v>
      </c>
      <c r="B116" s="16" t="s">
        <v>93</v>
      </c>
      <c r="C116" s="16" t="s">
        <v>93</v>
      </c>
      <c r="D116" s="16" t="s">
        <v>93</v>
      </c>
      <c r="E116" s="16" t="s">
        <v>275</v>
      </c>
      <c r="F116" s="16" t="s">
        <v>43</v>
      </c>
      <c r="G116" t="s">
        <v>285</v>
      </c>
      <c r="H116" s="17" t="s">
        <v>291</v>
      </c>
      <c r="I116" s="17" t="s">
        <v>287</v>
      </c>
      <c r="J116" s="18">
        <v>46042</v>
      </c>
      <c r="K116" s="19">
        <v>12</v>
      </c>
      <c r="L116" s="20">
        <v>170.67</v>
      </c>
      <c r="M116" s="21">
        <v>1</v>
      </c>
      <c r="N116" s="22">
        <v>2048.04</v>
      </c>
      <c r="O116" s="21">
        <v>0.03</v>
      </c>
      <c r="P116" s="22">
        <f t="shared" si="1"/>
        <v>61.441199999999995</v>
      </c>
      <c r="Q116" s="16" t="s">
        <v>278</v>
      </c>
    </row>
    <row r="117" spans="1:17" x14ac:dyDescent="0.25">
      <c r="A117" s="16" t="s">
        <v>92</v>
      </c>
      <c r="B117" s="16" t="s">
        <v>93</v>
      </c>
      <c r="C117" s="16" t="s">
        <v>93</v>
      </c>
      <c r="D117" s="16" t="s">
        <v>93</v>
      </c>
      <c r="E117" s="16" t="s">
        <v>275</v>
      </c>
      <c r="F117" s="16" t="s">
        <v>43</v>
      </c>
      <c r="G117" t="s">
        <v>285</v>
      </c>
      <c r="H117" s="17" t="s">
        <v>292</v>
      </c>
      <c r="I117" s="17" t="s">
        <v>287</v>
      </c>
      <c r="J117" s="18">
        <v>46042</v>
      </c>
      <c r="K117" s="19">
        <v>6</v>
      </c>
      <c r="L117" s="20">
        <v>170.67</v>
      </c>
      <c r="M117" s="21">
        <v>1</v>
      </c>
      <c r="N117" s="22">
        <v>1024.02</v>
      </c>
      <c r="O117" s="21">
        <v>0.03</v>
      </c>
      <c r="P117" s="22">
        <f t="shared" si="1"/>
        <v>30.720599999999997</v>
      </c>
      <c r="Q117" s="16" t="s">
        <v>278</v>
      </c>
    </row>
    <row r="118" spans="1:17" x14ac:dyDescent="0.25">
      <c r="A118" s="16" t="s">
        <v>92</v>
      </c>
      <c r="B118" s="16" t="s">
        <v>93</v>
      </c>
      <c r="C118" s="16" t="s">
        <v>93</v>
      </c>
      <c r="D118" s="16" t="s">
        <v>93</v>
      </c>
      <c r="E118" s="16" t="s">
        <v>275</v>
      </c>
      <c r="F118" s="16" t="s">
        <v>43</v>
      </c>
      <c r="G118" t="s">
        <v>285</v>
      </c>
      <c r="H118" s="17" t="s">
        <v>293</v>
      </c>
      <c r="I118" s="17" t="s">
        <v>287</v>
      </c>
      <c r="J118" s="18">
        <v>46042</v>
      </c>
      <c r="K118" s="19">
        <v>9</v>
      </c>
      <c r="L118" s="20">
        <v>170.67</v>
      </c>
      <c r="M118" s="21">
        <v>1</v>
      </c>
      <c r="N118" s="22">
        <v>1536.03</v>
      </c>
      <c r="O118" s="21">
        <v>0.03</v>
      </c>
      <c r="P118" s="22">
        <f t="shared" si="1"/>
        <v>46.0809</v>
      </c>
      <c r="Q118" s="16" t="s">
        <v>278</v>
      </c>
    </row>
    <row r="119" spans="1:17" x14ac:dyDescent="0.25">
      <c r="A119" s="16" t="s">
        <v>92</v>
      </c>
      <c r="B119" s="16" t="s">
        <v>93</v>
      </c>
      <c r="C119" s="16" t="s">
        <v>93</v>
      </c>
      <c r="D119" s="16" t="s">
        <v>93</v>
      </c>
      <c r="E119" s="16" t="s">
        <v>275</v>
      </c>
      <c r="F119" s="16" t="s">
        <v>43</v>
      </c>
      <c r="G119" t="s">
        <v>285</v>
      </c>
      <c r="H119" s="17" t="s">
        <v>294</v>
      </c>
      <c r="I119" s="17" t="s">
        <v>287</v>
      </c>
      <c r="J119" s="18">
        <v>46042</v>
      </c>
      <c r="K119" s="19">
        <v>6</v>
      </c>
      <c r="L119" s="20">
        <v>170.67</v>
      </c>
      <c r="M119" s="21">
        <v>1</v>
      </c>
      <c r="N119" s="22">
        <v>1024.02</v>
      </c>
      <c r="O119" s="21">
        <v>0.03</v>
      </c>
      <c r="P119" s="22">
        <f t="shared" si="1"/>
        <v>30.720599999999997</v>
      </c>
      <c r="Q119" s="16" t="s">
        <v>278</v>
      </c>
    </row>
    <row r="120" spans="1:17" x14ac:dyDescent="0.25">
      <c r="A120" s="16" t="s">
        <v>92</v>
      </c>
      <c r="B120" s="16" t="s">
        <v>93</v>
      </c>
      <c r="C120" s="16" t="s">
        <v>93</v>
      </c>
      <c r="D120" s="16" t="s">
        <v>93</v>
      </c>
      <c r="E120" s="16" t="s">
        <v>275</v>
      </c>
      <c r="F120" s="16" t="s">
        <v>43</v>
      </c>
      <c r="G120" t="s">
        <v>285</v>
      </c>
      <c r="H120" s="17" t="s">
        <v>295</v>
      </c>
      <c r="I120" s="17" t="s">
        <v>287</v>
      </c>
      <c r="J120" s="18">
        <v>46042</v>
      </c>
      <c r="K120" s="19">
        <v>6</v>
      </c>
      <c r="L120" s="20">
        <v>170.67</v>
      </c>
      <c r="M120" s="21">
        <v>1</v>
      </c>
      <c r="N120" s="22">
        <v>1024.02</v>
      </c>
      <c r="O120" s="21">
        <v>0.03</v>
      </c>
      <c r="P120" s="22">
        <f t="shared" si="1"/>
        <v>30.720599999999997</v>
      </c>
      <c r="Q120" s="1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March</vt:lpstr>
      <vt:lpstr>February</vt:lpstr>
      <vt:lpstr>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DRM(Dena Mandery)</dc:creator>
  <cp:lastModifiedBy>Hughes, Jamie</cp:lastModifiedBy>
  <cp:lastPrinted>2023-05-09T19:07:15Z</cp:lastPrinted>
  <dcterms:created xsi:type="dcterms:W3CDTF">2023-02-23T19:55:17Z</dcterms:created>
  <dcterms:modified xsi:type="dcterms:W3CDTF">2026-04-14T13:38:13Z</dcterms:modified>
</cp:coreProperties>
</file>